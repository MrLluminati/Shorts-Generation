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Quality G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28" customWidth="1" min="5" max="5"/>
    <col width="28" customWidth="1" min="6" max="6"/>
    <col width="2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28" customWidth="1" min="20" max="20"/>
    <col width="16" customWidth="1" min="21" max="21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Slot</t>
        </is>
      </c>
      <c r="D1" s="1" t="inlineStr">
        <is>
          <t>Asset File</t>
        </is>
      </c>
      <c r="E1" s="1" t="inlineStr">
        <is>
          <t>Pillar</t>
        </is>
      </c>
      <c r="F1" s="1" t="inlineStr">
        <is>
          <t>Format</t>
        </is>
      </c>
      <c r="G1" s="1" t="inlineStr">
        <is>
          <t>Upload Title</t>
        </is>
      </c>
      <c r="H1" s="1" t="inlineStr">
        <is>
          <t>Video URL</t>
        </is>
      </c>
      <c r="I1" s="1" t="inlineStr">
        <is>
          <t>Published?</t>
        </is>
      </c>
      <c r="J1" s="1" t="inlineStr">
        <is>
          <t>24h Views</t>
        </is>
      </c>
      <c r="K1" s="1" t="inlineStr">
        <is>
          <t>72h Views</t>
        </is>
      </c>
      <c r="L1" s="1" t="inlineStr">
        <is>
          <t>7d Views</t>
        </is>
      </c>
      <c r="M1" s="1" t="inlineStr">
        <is>
          <t>Subscribers Gained</t>
        </is>
      </c>
      <c r="N1" s="1" t="inlineStr">
        <is>
          <t>Likes</t>
        </is>
      </c>
      <c r="O1" s="1" t="inlineStr">
        <is>
          <t>Comments</t>
        </is>
      </c>
      <c r="P1" s="1" t="inlineStr">
        <is>
          <t>Avg % Viewed</t>
        </is>
      </c>
      <c r="Q1" s="1" t="inlineStr">
        <is>
          <t>Viewed vs Swiped %</t>
        </is>
      </c>
      <c r="R1" s="1" t="inlineStr">
        <is>
          <t>Likes / 1K Views</t>
        </is>
      </c>
      <c r="S1" s="1" t="inlineStr">
        <is>
          <t>Subs / 10K Views</t>
        </is>
      </c>
      <c r="T1" s="1" t="inlineStr">
        <is>
          <t>Decision</t>
        </is>
      </c>
      <c r="U1" s="1" t="inlineStr">
        <is>
          <t>Notes</t>
        </is>
      </c>
    </row>
    <row r="2">
      <c r="A2" s="2" t="n">
        <v>1</v>
      </c>
      <c r="B2" s="2" t="inlineStr">
        <is>
          <t>2026-06-08</t>
        </is>
      </c>
      <c r="C2" s="2" t="inlineStr">
        <is>
          <t>A</t>
        </is>
      </c>
      <c r="D2" s="2" t="inlineStr">
        <is>
          <t>03_denji_heart.mp4</t>
        </is>
      </c>
      <c r="E2" s="2" t="inlineStr">
        <is>
          <t>Chainsaw Man Reze Arc</t>
        </is>
      </c>
      <c r="F2" s="2" t="inlineStr">
        <is>
          <t>Why this scene works</t>
        </is>
      </c>
      <c r="G2" s="2" t="inlineStr">
        <is>
          <t>Denji's Heart Line Hits Different | Chainsaw Man Explained</t>
        </is>
      </c>
      <c r="H2" s="2" t="inlineStr"/>
      <c r="I2" s="2" t="inlineStr">
        <is>
          <t>No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>
        <f>IF(L2&gt;0,N2/L2*1000,"")</f>
        <v/>
      </c>
      <c r="S2" s="2">
        <f>IF(L2&gt;0,M2/L2*10000,"")</f>
        <v/>
      </c>
      <c r="T2" s="2">
        <f>IF(AND(L2&gt;=1000,P2&gt;=70),"Double down",IF(AND(L2&lt;100,P2&lt;&gt;""),"Retire hook","Wait"))</f>
        <v/>
      </c>
      <c r="U2" s="2" t="inlineStr"/>
    </row>
    <row r="3">
      <c r="A3" s="2" t="n">
        <v>1</v>
      </c>
      <c r="B3" s="2" t="inlineStr">
        <is>
          <t>2026-06-08</t>
        </is>
      </c>
      <c r="C3" s="2" t="inlineStr">
        <is>
          <t>B</t>
        </is>
      </c>
      <c r="D3" s="2" t="inlineStr">
        <is>
          <t>01_date_to_devil.mp4</t>
        </is>
      </c>
      <c r="E3" s="2" t="inlineStr">
        <is>
          <t>Chainsaw Man Reze Arc</t>
        </is>
      </c>
      <c r="F3" s="2" t="inlineStr">
        <is>
          <t>Hidden detail you missed</t>
        </is>
      </c>
      <c r="G3" s="2" t="inlineStr">
        <is>
          <t>Reze's Smile Was the Warning | Chainsaw Man Explained</t>
        </is>
      </c>
      <c r="H3" s="2" t="inlineStr"/>
      <c r="I3" s="2" t="inlineStr">
        <is>
          <t>No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>
        <f>IF(L3&gt;0,N3/L3*1000,"")</f>
        <v/>
      </c>
      <c r="S3" s="2">
        <f>IF(L3&gt;0,M3/L3*10000,"")</f>
        <v/>
      </c>
      <c r="T3" s="2">
        <f>IF(AND(L3&gt;=1000,P3&gt;=70),"Double down",IF(AND(L3&lt;100,P3&lt;&gt;""),"Retire hook","Wait"))</f>
        <v/>
      </c>
      <c r="U3" s="2" t="inlineStr"/>
    </row>
    <row r="4">
      <c r="A4" s="2" t="n">
        <v>1</v>
      </c>
      <c r="B4" s="2" t="inlineStr">
        <is>
          <t>2026-06-08</t>
        </is>
      </c>
      <c r="C4" s="2" t="inlineStr">
        <is>
          <t>C</t>
        </is>
      </c>
      <c r="D4" s="2" t="inlineStr">
        <is>
          <t>02_bomb_walked_in.mp4</t>
        </is>
      </c>
      <c r="E4" s="2" t="inlineStr">
        <is>
          <t>Chainsaw Man Reze Arc</t>
        </is>
      </c>
      <c r="F4" s="2" t="inlineStr">
        <is>
          <t>Character decision explained</t>
        </is>
      </c>
      <c r="G4" s="2" t="inlineStr">
        <is>
          <t>Bomb Devil Walked In Smiling | Chainsaw Man Explained</t>
        </is>
      </c>
      <c r="H4" s="2" t="inlineStr"/>
      <c r="I4" s="2" t="inlineStr">
        <is>
          <t>No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>
        <f>IF(L4&gt;0,N4/L4*1000,"")</f>
        <v/>
      </c>
      <c r="S4" s="2">
        <f>IF(L4&gt;0,M4/L4*10000,"")</f>
        <v/>
      </c>
      <c r="T4" s="2">
        <f>IF(AND(L4&gt;=1000,P4&gt;=70),"Double down",IF(AND(L4&lt;100,P4&lt;&gt;""),"Retire hook","Wait"))</f>
        <v/>
      </c>
      <c r="U4" s="2" t="inlineStr"/>
    </row>
    <row r="5">
      <c r="A5" s="2" t="n">
        <v>2</v>
      </c>
      <c r="B5" s="2" t="inlineStr">
        <is>
          <t>2026-06-09</t>
        </is>
      </c>
      <c r="C5" s="2" t="inlineStr">
        <is>
          <t>A</t>
        </is>
      </c>
      <c r="D5" s="2" t="inlineStr">
        <is>
          <t>06_city_mouse.mp4</t>
        </is>
      </c>
      <c r="E5" s="2" t="inlineStr">
        <is>
          <t>Chainsaw Man Reze Arc</t>
        </is>
      </c>
      <c r="F5" s="2" t="inlineStr">
        <is>
          <t>Hidden detail you missed</t>
        </is>
      </c>
      <c r="G5" s="2" t="inlineStr">
        <is>
          <t>City Mouse vs Country Mouse | Reze Arc Explained</t>
        </is>
      </c>
      <c r="H5" s="2" t="inlineStr"/>
      <c r="I5" s="2" t="inlineStr">
        <is>
          <t>No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>
        <f>IF(L5&gt;0,N5/L5*1000,"")</f>
        <v/>
      </c>
      <c r="S5" s="2">
        <f>IF(L5&gt;0,M5/L5*10000,"")</f>
        <v/>
      </c>
      <c r="T5" s="2">
        <f>IF(AND(L5&gt;=1000,P5&gt;=70),"Double down",IF(AND(L5&lt;100,P5&lt;&gt;""),"Retire hook","Wait"))</f>
        <v/>
      </c>
      <c r="U5" s="2" t="inlineStr"/>
    </row>
    <row r="6">
      <c r="A6" s="2" t="n">
        <v>2</v>
      </c>
      <c r="B6" s="2" t="inlineStr">
        <is>
          <t>2026-06-09</t>
        </is>
      </c>
      <c r="C6" s="2" t="inlineStr">
        <is>
          <t>B</t>
        </is>
      </c>
      <c r="D6" s="2" t="inlineStr">
        <is>
          <t>04_easy_choice.mp4</t>
        </is>
      </c>
      <c r="E6" s="2" t="inlineStr">
        <is>
          <t>Chainsaw Man Reze Arc</t>
        </is>
      </c>
      <c r="F6" s="2" t="inlineStr">
        <is>
          <t>Character decision explained</t>
        </is>
      </c>
      <c r="G6" s="2" t="inlineStr">
        <is>
          <t>Chainsaw Man Had One Brutal Choice | Reze Arc Explained</t>
        </is>
      </c>
      <c r="H6" s="2" t="inlineStr"/>
      <c r="I6" s="2" t="inlineStr">
        <is>
          <t>No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>
        <f>IF(L6&gt;0,N6/L6*1000,"")</f>
        <v/>
      </c>
      <c r="S6" s="2">
        <f>IF(L6&gt;0,M6/L6*10000,"")</f>
        <v/>
      </c>
      <c r="T6" s="2">
        <f>IF(AND(L6&gt;=1000,P6&gt;=70),"Double down",IF(AND(L6&lt;100,P6&lt;&gt;""),"Retire hook","Wait"))</f>
        <v/>
      </c>
      <c r="U6" s="2" t="inlineStr"/>
    </row>
    <row r="7">
      <c r="A7" s="2" t="n">
        <v>2</v>
      </c>
      <c r="B7" s="2" t="inlineStr">
        <is>
          <t>2026-06-09</t>
        </is>
      </c>
      <c r="C7" s="2" t="inlineStr">
        <is>
          <t>C</t>
        </is>
      </c>
      <c r="D7" s="2" t="inlineStr">
        <is>
          <t>05_run_away_together.mp4</t>
        </is>
      </c>
      <c r="E7" s="2" t="inlineStr">
        <is>
          <t>Chainsaw Man Reze Arc</t>
        </is>
      </c>
      <c r="F7" s="2" t="inlineStr">
        <is>
          <t>Why this scene works</t>
        </is>
      </c>
      <c r="G7" s="2" t="inlineStr">
        <is>
          <t>He Still Asked Reze to Run Away | Chainsaw Man Explained</t>
        </is>
      </c>
      <c r="H7" s="2" t="inlineStr"/>
      <c r="I7" s="2" t="inlineStr">
        <is>
          <t>No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>
        <f>IF(L7&gt;0,N7/L7*1000,"")</f>
        <v/>
      </c>
      <c r="S7" s="2">
        <f>IF(L7&gt;0,M7/L7*10000,"")</f>
        <v/>
      </c>
      <c r="T7" s="2">
        <f>IF(AND(L7&gt;=1000,P7&gt;=70),"Double down",IF(AND(L7&lt;100,P7&lt;&gt;""),"Retire hook","Wait"))</f>
        <v/>
      </c>
      <c r="U7" s="2" t="inlineStr"/>
    </row>
    <row r="8">
      <c r="A8" s="2" t="n">
        <v>3</v>
      </c>
      <c r="B8" s="2" t="inlineStr">
        <is>
          <t>2026-06-10</t>
        </is>
      </c>
      <c r="C8" s="2" t="inlineStr">
        <is>
          <t>A</t>
        </is>
      </c>
      <c r="D8" s="2" t="inlineStr">
        <is>
          <t>To create</t>
        </is>
      </c>
      <c r="E8" s="2" t="inlineStr">
        <is>
          <t>Chainsaw Man Reze Arc</t>
        </is>
      </c>
      <c r="F8" s="2" t="inlineStr">
        <is>
          <t>Character decision explained</t>
        </is>
      </c>
      <c r="G8" s="2" t="inlineStr">
        <is>
          <t>Reze's Smile Was the Warning | Chainsaw Man Explained</t>
        </is>
      </c>
      <c r="H8" s="2" t="inlineStr"/>
      <c r="I8" s="2" t="inlineStr">
        <is>
          <t>No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>
        <f>IF(L8&gt;0,N8/L8*1000,"")</f>
        <v/>
      </c>
      <c r="S8" s="2">
        <f>IF(L8&gt;0,M8/L8*10000,"")</f>
        <v/>
      </c>
      <c r="T8" s="2">
        <f>IF(AND(L8&gt;=1000,P8&gt;=70),"Double down",IF(AND(L8&lt;100,P8&lt;&gt;""),"Retire hook","Wait"))</f>
        <v/>
      </c>
      <c r="U8" s="2" t="inlineStr"/>
    </row>
    <row r="9">
      <c r="A9" s="2" t="n">
        <v>3</v>
      </c>
      <c r="B9" s="2" t="inlineStr">
        <is>
          <t>2026-06-10</t>
        </is>
      </c>
      <c r="C9" s="2" t="inlineStr">
        <is>
          <t>B</t>
        </is>
      </c>
      <c r="D9" s="2" t="inlineStr">
        <is>
          <t>To create</t>
        </is>
      </c>
      <c r="E9" s="2" t="inlineStr">
        <is>
          <t>Chainsaw Man Reze Arc</t>
        </is>
      </c>
      <c r="F9" s="2" t="inlineStr">
        <is>
          <t>Why this scene works</t>
        </is>
      </c>
      <c r="G9" s="2" t="inlineStr">
        <is>
          <t>Denji's Heart Line Hits Different | Chainsaw Man Explained</t>
        </is>
      </c>
      <c r="H9" s="2" t="inlineStr"/>
      <c r="I9" s="2" t="inlineStr">
        <is>
          <t>No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>
        <f>IF(L9&gt;0,N9/L9*1000,"")</f>
        <v/>
      </c>
      <c r="S9" s="2">
        <f>IF(L9&gt;0,M9/L9*10000,"")</f>
        <v/>
      </c>
      <c r="T9" s="2">
        <f>IF(AND(L9&gt;=1000,P9&gt;=70),"Double down",IF(AND(L9&lt;100,P9&lt;&gt;""),"Retire hook","Wait"))</f>
        <v/>
      </c>
      <c r="U9" s="2" t="inlineStr"/>
    </row>
    <row r="10">
      <c r="A10" s="2" t="n">
        <v>3</v>
      </c>
      <c r="B10" s="2" t="inlineStr">
        <is>
          <t>2026-06-10</t>
        </is>
      </c>
      <c r="C10" s="2" t="inlineStr">
        <is>
          <t>C</t>
        </is>
      </c>
      <c r="D10" s="2" t="inlineStr">
        <is>
          <t>To create</t>
        </is>
      </c>
      <c r="E10" s="2" t="inlineStr">
        <is>
          <t>Chainsaw Man Reze Arc</t>
        </is>
      </c>
      <c r="F10" s="2" t="inlineStr">
        <is>
          <t>Hidden detail you missed</t>
        </is>
      </c>
      <c r="G10" s="2" t="inlineStr">
        <is>
          <t>City Mouse vs Country Mouse | Reze Arc Explained</t>
        </is>
      </c>
      <c r="H10" s="2" t="inlineStr"/>
      <c r="I10" s="2" t="inlineStr">
        <is>
          <t>No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>
        <f>IF(L10&gt;0,N10/L10*1000,"")</f>
        <v/>
      </c>
      <c r="S10" s="2">
        <f>IF(L10&gt;0,M10/L10*10000,"")</f>
        <v/>
      </c>
      <c r="T10" s="2">
        <f>IF(AND(L10&gt;=1000,P10&gt;=70),"Double down",IF(AND(L10&lt;100,P10&lt;&gt;""),"Retire hook","Wait"))</f>
        <v/>
      </c>
      <c r="U10" s="2" t="inlineStr"/>
    </row>
    <row r="11">
      <c r="A11" s="2" t="n">
        <v>4</v>
      </c>
      <c r="B11" s="2" t="inlineStr">
        <is>
          <t>2026-06-11</t>
        </is>
      </c>
      <c r="C11" s="2" t="inlineStr">
        <is>
          <t>A</t>
        </is>
      </c>
      <c r="D11" s="2" t="inlineStr">
        <is>
          <t>To create</t>
        </is>
      </c>
      <c r="E11" s="2" t="inlineStr">
        <is>
          <t>One Piece</t>
        </is>
      </c>
      <c r="F11" s="2" t="inlineStr">
        <is>
          <t>Why this scene works</t>
        </is>
      </c>
      <c r="G11" s="2" t="inlineStr">
        <is>
          <t>Whitebeard's Final Prophecy Explained | One Piece</t>
        </is>
      </c>
      <c r="H11" s="2" t="inlineStr"/>
      <c r="I11" s="2" t="inlineStr">
        <is>
          <t>No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>
        <f>IF(L11&gt;0,N11/L11*1000,"")</f>
        <v/>
      </c>
      <c r="S11" s="2">
        <f>IF(L11&gt;0,M11/L11*10000,"")</f>
        <v/>
      </c>
      <c r="T11" s="2">
        <f>IF(AND(L11&gt;=1000,P11&gt;=70),"Double down",IF(AND(L11&lt;100,P11&lt;&gt;""),"Retire hook","Wait"))</f>
        <v/>
      </c>
      <c r="U11" s="2" t="inlineStr"/>
    </row>
    <row r="12">
      <c r="A12" s="2" t="n">
        <v>4</v>
      </c>
      <c r="B12" s="2" t="inlineStr">
        <is>
          <t>2026-06-11</t>
        </is>
      </c>
      <c r="C12" s="2" t="inlineStr">
        <is>
          <t>B</t>
        </is>
      </c>
      <c r="D12" s="2" t="inlineStr">
        <is>
          <t>To create</t>
        </is>
      </c>
      <c r="E12" s="2" t="inlineStr">
        <is>
          <t>One Piece</t>
        </is>
      </c>
      <c r="F12" s="2" t="inlineStr">
        <is>
          <t>Hidden detail you missed</t>
        </is>
      </c>
      <c r="G12" s="2" t="inlineStr">
        <is>
          <t>Why Everyone Reacting Makes Luffy Stronger | One Piece</t>
        </is>
      </c>
      <c r="H12" s="2" t="inlineStr"/>
      <c r="I12" s="2" t="inlineStr">
        <is>
          <t>No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>
        <f>IF(L12&gt;0,N12/L12*1000,"")</f>
        <v/>
      </c>
      <c r="S12" s="2">
        <f>IF(L12&gt;0,M12/L12*10000,"")</f>
        <v/>
      </c>
      <c r="T12" s="2">
        <f>IF(AND(L12&gt;=1000,P12&gt;=70),"Double down",IF(AND(L12&lt;100,P12&lt;&gt;""),"Retire hook","Wait"))</f>
        <v/>
      </c>
      <c r="U12" s="2" t="inlineStr"/>
    </row>
    <row r="13">
      <c r="A13" s="2" t="n">
        <v>4</v>
      </c>
      <c r="B13" s="2" t="inlineStr">
        <is>
          <t>2026-06-11</t>
        </is>
      </c>
      <c r="C13" s="2" t="inlineStr">
        <is>
          <t>C</t>
        </is>
      </c>
      <c r="D13" s="2" t="inlineStr">
        <is>
          <t>To create</t>
        </is>
      </c>
      <c r="E13" s="2" t="inlineStr">
        <is>
          <t>Demon Slayer Infinity Castle</t>
        </is>
      </c>
      <c r="F13" s="2" t="inlineStr">
        <is>
          <t>Character decision explained</t>
        </is>
      </c>
      <c r="G13" s="2" t="inlineStr">
        <is>
          <t>Infinity Castle's Real Trick | Demon Slayer Explained</t>
        </is>
      </c>
      <c r="H13" s="2" t="inlineStr"/>
      <c r="I13" s="2" t="inlineStr">
        <is>
          <t>No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>
        <f>IF(L13&gt;0,N13/L13*1000,"")</f>
        <v/>
      </c>
      <c r="S13" s="2">
        <f>IF(L13&gt;0,M13/L13*10000,"")</f>
        <v/>
      </c>
      <c r="T13" s="2">
        <f>IF(AND(L13&gt;=1000,P13&gt;=70),"Double down",IF(AND(L13&lt;100,P13&lt;&gt;""),"Retire hook","Wait"))</f>
        <v/>
      </c>
      <c r="U13" s="2" t="inlineStr"/>
    </row>
    <row r="14">
      <c r="A14" s="2" t="n">
        <v>5</v>
      </c>
      <c r="B14" s="2" t="inlineStr">
        <is>
          <t>2026-06-12</t>
        </is>
      </c>
      <c r="C14" s="2" t="inlineStr">
        <is>
          <t>A</t>
        </is>
      </c>
      <c r="D14" s="2" t="inlineStr">
        <is>
          <t>To create</t>
        </is>
      </c>
      <c r="E14" s="2" t="inlineStr">
        <is>
          <t>Stranger Things</t>
        </is>
      </c>
      <c r="F14" s="2" t="inlineStr">
        <is>
          <t>Hidden detail you missed</t>
        </is>
      </c>
      <c r="G14" s="2" t="inlineStr">
        <is>
          <t>Why Music Works Against Vecna | Stranger Things Explained</t>
        </is>
      </c>
      <c r="H14" s="2" t="inlineStr"/>
      <c r="I14" s="2" t="inlineStr">
        <is>
          <t>No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>
        <f>IF(L14&gt;0,N14/L14*1000,"")</f>
        <v/>
      </c>
      <c r="S14" s="2">
        <f>IF(L14&gt;0,M14/L14*10000,"")</f>
        <v/>
      </c>
      <c r="T14" s="2">
        <f>IF(AND(L14&gt;=1000,P14&gt;=70),"Double down",IF(AND(L14&lt;100,P14&lt;&gt;""),"Retire hook","Wait"))</f>
        <v/>
      </c>
      <c r="U14" s="2" t="inlineStr"/>
    </row>
    <row r="15">
      <c r="A15" s="2" t="n">
        <v>5</v>
      </c>
      <c r="B15" s="2" t="inlineStr">
        <is>
          <t>2026-06-12</t>
        </is>
      </c>
      <c r="C15" s="2" t="inlineStr">
        <is>
          <t>B</t>
        </is>
      </c>
      <c r="D15" s="2" t="inlineStr">
        <is>
          <t>To create</t>
        </is>
      </c>
      <c r="E15" s="2" t="inlineStr">
        <is>
          <t>Stranger Things</t>
        </is>
      </c>
      <c r="F15" s="2" t="inlineStr">
        <is>
          <t>Character decision explained</t>
        </is>
      </c>
      <c r="G15" s="2" t="inlineStr">
        <is>
          <t>Why Will's Quiet Scenes Matter | Stranger Things</t>
        </is>
      </c>
      <c r="H15" s="2" t="inlineStr"/>
      <c r="I15" s="2" t="inlineStr">
        <is>
          <t>No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>
        <f>IF(L15&gt;0,N15/L15*1000,"")</f>
        <v/>
      </c>
      <c r="S15" s="2">
        <f>IF(L15&gt;0,M15/L15*10000,"")</f>
        <v/>
      </c>
      <c r="T15" s="2">
        <f>IF(AND(L15&gt;=1000,P15&gt;=70),"Double down",IF(AND(L15&lt;100,P15&lt;&gt;""),"Retire hook","Wait"))</f>
        <v/>
      </c>
      <c r="U15" s="2" t="inlineStr"/>
    </row>
    <row r="16">
      <c r="A16" s="2" t="n">
        <v>5</v>
      </c>
      <c r="B16" s="2" t="inlineStr">
        <is>
          <t>2026-06-12</t>
        </is>
      </c>
      <c r="C16" s="2" t="inlineStr">
        <is>
          <t>C</t>
        </is>
      </c>
      <c r="D16" s="2" t="inlineStr">
        <is>
          <t>To create</t>
        </is>
      </c>
      <c r="E16" s="2" t="inlineStr">
        <is>
          <t>The Dark Knight</t>
        </is>
      </c>
      <c r="F16" s="2" t="inlineStr">
        <is>
          <t>Why this scene works</t>
        </is>
      </c>
      <c r="G16" s="2" t="inlineStr">
        <is>
          <t>The Joker Hospital Pause Explained | The Dark Knight</t>
        </is>
      </c>
      <c r="H16" s="2" t="inlineStr"/>
      <c r="I16" s="2" t="inlineStr">
        <is>
          <t>No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>
        <f>IF(L16&gt;0,N16/L16*1000,"")</f>
        <v/>
      </c>
      <c r="S16" s="2">
        <f>IF(L16&gt;0,M16/L16*10000,"")</f>
        <v/>
      </c>
      <c r="T16" s="2">
        <f>IF(AND(L16&gt;=1000,P16&gt;=70),"Double down",IF(AND(L16&lt;100,P16&lt;&gt;""),"Retire hook","Wait"))</f>
        <v/>
      </c>
      <c r="U16" s="2" t="inlineStr"/>
    </row>
    <row r="17">
      <c r="A17" s="2" t="n">
        <v>6</v>
      </c>
      <c r="B17" s="2" t="inlineStr">
        <is>
          <t>2026-06-13</t>
        </is>
      </c>
      <c r="C17" s="2" t="inlineStr">
        <is>
          <t>A</t>
        </is>
      </c>
      <c r="D17" s="2" t="inlineStr">
        <is>
          <t>To create</t>
        </is>
      </c>
      <c r="E17" s="2" t="inlineStr">
        <is>
          <t>Batman / DC</t>
        </is>
      </c>
      <c r="F17" s="2" t="inlineStr">
        <is>
          <t>Character decision explained</t>
        </is>
      </c>
      <c r="G17" s="2" t="inlineStr">
        <is>
          <t>Why Villains Steal Batman Scenes | Movie Explained</t>
        </is>
      </c>
      <c r="H17" s="2" t="inlineStr"/>
      <c r="I17" s="2" t="inlineStr">
        <is>
          <t>No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>
        <f>IF(L17&gt;0,N17/L17*1000,"")</f>
        <v/>
      </c>
      <c r="S17" s="2">
        <f>IF(L17&gt;0,M17/L17*10000,"")</f>
        <v/>
      </c>
      <c r="T17" s="2">
        <f>IF(AND(L17&gt;=1000,P17&gt;=70),"Double down",IF(AND(L17&lt;100,P17&lt;&gt;""),"Retire hook","Wait"))</f>
        <v/>
      </c>
      <c r="U17" s="2" t="inlineStr"/>
    </row>
    <row r="18">
      <c r="A18" s="2" t="n">
        <v>6</v>
      </c>
      <c r="B18" s="2" t="inlineStr">
        <is>
          <t>2026-06-13</t>
        </is>
      </c>
      <c r="C18" s="2" t="inlineStr">
        <is>
          <t>B</t>
        </is>
      </c>
      <c r="D18" s="2" t="inlineStr">
        <is>
          <t>To create</t>
        </is>
      </c>
      <c r="E18" s="2" t="inlineStr">
        <is>
          <t>Gachiakuta</t>
        </is>
      </c>
      <c r="F18" s="2" t="inlineStr">
        <is>
          <t>Why this scene works</t>
        </is>
      </c>
      <c r="G18" s="2" t="inlineStr">
        <is>
          <t>Watchman Reveal Explained | Gachiakuta</t>
        </is>
      </c>
      <c r="H18" s="2" t="inlineStr"/>
      <c r="I18" s="2" t="inlineStr">
        <is>
          <t>No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>
        <f>IF(L18&gt;0,N18/L18*1000,"")</f>
        <v/>
      </c>
      <c r="S18" s="2">
        <f>IF(L18&gt;0,M18/L18*10000,"")</f>
        <v/>
      </c>
      <c r="T18" s="2">
        <f>IF(AND(L18&gt;=1000,P18&gt;=70),"Double down",IF(AND(L18&lt;100,P18&lt;&gt;""),"Retire hook","Wait"))</f>
        <v/>
      </c>
      <c r="U18" s="2" t="inlineStr"/>
    </row>
    <row r="19">
      <c r="A19" s="2" t="n">
        <v>6</v>
      </c>
      <c r="B19" s="2" t="inlineStr">
        <is>
          <t>2026-06-13</t>
        </is>
      </c>
      <c r="C19" s="2" t="inlineStr">
        <is>
          <t>C</t>
        </is>
      </c>
      <c r="D19" s="2" t="inlineStr">
        <is>
          <t>To create</t>
        </is>
      </c>
      <c r="E19" s="2" t="inlineStr">
        <is>
          <t>June/July 2026 Movies</t>
        </is>
      </c>
      <c r="F19" s="2" t="inlineStr">
        <is>
          <t>Hidden detail you missed</t>
        </is>
      </c>
      <c r="G19" s="2" t="inlineStr">
        <is>
          <t>The Trailer Shot That Sells the Movie | Movie Explained</t>
        </is>
      </c>
      <c r="H19" s="2" t="inlineStr"/>
      <c r="I19" s="2" t="inlineStr">
        <is>
          <t>No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>
        <f>IF(L19&gt;0,N19/L19*1000,"")</f>
        <v/>
      </c>
      <c r="S19" s="2">
        <f>IF(L19&gt;0,M19/L19*10000,"")</f>
        <v/>
      </c>
      <c r="T19" s="2">
        <f>IF(AND(L19&gt;=1000,P19&gt;=70),"Double down",IF(AND(L19&lt;100,P19&lt;&gt;""),"Retire hook","Wait"))</f>
        <v/>
      </c>
      <c r="U19" s="2" t="inlineStr"/>
    </row>
    <row r="20">
      <c r="A20" s="2" t="n">
        <v>7</v>
      </c>
      <c r="B20" s="2" t="inlineStr">
        <is>
          <t>2026-06-14</t>
        </is>
      </c>
      <c r="C20" s="2" t="inlineStr">
        <is>
          <t>A</t>
        </is>
      </c>
      <c r="D20" s="2" t="inlineStr">
        <is>
          <t>To create</t>
        </is>
      </c>
      <c r="E20" s="2" t="inlineStr">
        <is>
          <t>Chainsaw Man Reze Arc</t>
        </is>
      </c>
      <c r="F20" s="2" t="inlineStr">
        <is>
          <t>Why this scene works</t>
        </is>
      </c>
      <c r="G20" s="2" t="inlineStr">
        <is>
          <t>Reze's Smile Was the Warning | Chainsaw Man Explained</t>
        </is>
      </c>
      <c r="H20" s="2" t="inlineStr"/>
      <c r="I20" s="2" t="inlineStr">
        <is>
          <t>No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>
        <f>IF(L20&gt;0,N20/L20*1000,"")</f>
        <v/>
      </c>
      <c r="S20" s="2">
        <f>IF(L20&gt;0,M20/L20*10000,"")</f>
        <v/>
      </c>
      <c r="T20" s="2">
        <f>IF(AND(L20&gt;=1000,P20&gt;=70),"Double down",IF(AND(L20&lt;100,P20&lt;&gt;""),"Retire hook","Wait"))</f>
        <v/>
      </c>
      <c r="U20" s="2" t="inlineStr"/>
    </row>
    <row r="21">
      <c r="A21" s="2" t="n">
        <v>7</v>
      </c>
      <c r="B21" s="2" t="inlineStr">
        <is>
          <t>2026-06-14</t>
        </is>
      </c>
      <c r="C21" s="2" t="inlineStr">
        <is>
          <t>B</t>
        </is>
      </c>
      <c r="D21" s="2" t="inlineStr">
        <is>
          <t>To create</t>
        </is>
      </c>
      <c r="E21" s="2" t="inlineStr">
        <is>
          <t>Chainsaw Man Reze Arc</t>
        </is>
      </c>
      <c r="F21" s="2" t="inlineStr">
        <is>
          <t>Hidden detail you missed</t>
        </is>
      </c>
      <c r="G21" s="2" t="inlineStr">
        <is>
          <t>Denji's Heart Line Hits Different | Chainsaw Man Explained</t>
        </is>
      </c>
      <c r="H21" s="2" t="inlineStr"/>
      <c r="I21" s="2" t="inlineStr">
        <is>
          <t>No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>
        <f>IF(L21&gt;0,N21/L21*1000,"")</f>
        <v/>
      </c>
      <c r="S21" s="2">
        <f>IF(L21&gt;0,M21/L21*10000,"")</f>
        <v/>
      </c>
      <c r="T21" s="2">
        <f>IF(AND(L21&gt;=1000,P21&gt;=70),"Double down",IF(AND(L21&lt;100,P21&lt;&gt;""),"Retire hook","Wait"))</f>
        <v/>
      </c>
      <c r="U21" s="2" t="inlineStr"/>
    </row>
    <row r="22">
      <c r="A22" s="2" t="n">
        <v>7</v>
      </c>
      <c r="B22" s="2" t="inlineStr">
        <is>
          <t>2026-06-14</t>
        </is>
      </c>
      <c r="C22" s="2" t="inlineStr">
        <is>
          <t>C</t>
        </is>
      </c>
      <c r="D22" s="2" t="inlineStr">
        <is>
          <t>To create</t>
        </is>
      </c>
      <c r="E22" s="2" t="inlineStr">
        <is>
          <t>Chainsaw Man Reze Arc</t>
        </is>
      </c>
      <c r="F22" s="2" t="inlineStr">
        <is>
          <t>Character decision explained</t>
        </is>
      </c>
      <c r="G22" s="2" t="inlineStr">
        <is>
          <t>City Mouse vs Country Mouse | Reze Arc Explained</t>
        </is>
      </c>
      <c r="H22" s="2" t="inlineStr"/>
      <c r="I22" s="2" t="inlineStr">
        <is>
          <t>No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>
        <f>IF(L22&gt;0,N22/L22*1000,"")</f>
        <v/>
      </c>
      <c r="S22" s="2">
        <f>IF(L22&gt;0,M22/L22*10000,"")</f>
        <v/>
      </c>
      <c r="T22" s="2">
        <f>IF(AND(L22&gt;=1000,P22&gt;=70),"Double down",IF(AND(L22&lt;100,P22&lt;&gt;""),"Retire hook","Wait"))</f>
        <v/>
      </c>
      <c r="U22" s="2" t="inlineStr"/>
    </row>
    <row r="23">
      <c r="A23" s="2" t="n">
        <v>8</v>
      </c>
      <c r="B23" s="2" t="inlineStr">
        <is>
          <t>2026-06-15</t>
        </is>
      </c>
      <c r="C23" s="2" t="inlineStr">
        <is>
          <t>A</t>
        </is>
      </c>
      <c r="D23" s="2" t="inlineStr">
        <is>
          <t>To create</t>
        </is>
      </c>
      <c r="E23" s="2" t="inlineStr">
        <is>
          <t>One Piece</t>
        </is>
      </c>
      <c r="F23" s="2" t="inlineStr">
        <is>
          <t>Hidden detail you missed</t>
        </is>
      </c>
      <c r="G23" s="2" t="inlineStr">
        <is>
          <t>Whitebeard's Final Prophecy Explained | One Piece</t>
        </is>
      </c>
      <c r="H23" s="2" t="inlineStr"/>
      <c r="I23" s="2" t="inlineStr">
        <is>
          <t>No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>
        <f>IF(L23&gt;0,N23/L23*1000,"")</f>
        <v/>
      </c>
      <c r="S23" s="2">
        <f>IF(L23&gt;0,M23/L23*10000,"")</f>
        <v/>
      </c>
      <c r="T23" s="2">
        <f>IF(AND(L23&gt;=1000,P23&gt;=70),"Double down",IF(AND(L23&lt;100,P23&lt;&gt;""),"Retire hook","Wait"))</f>
        <v/>
      </c>
      <c r="U23" s="2" t="inlineStr"/>
    </row>
    <row r="24">
      <c r="A24" s="2" t="n">
        <v>8</v>
      </c>
      <c r="B24" s="2" t="inlineStr">
        <is>
          <t>2026-06-15</t>
        </is>
      </c>
      <c r="C24" s="2" t="inlineStr">
        <is>
          <t>B</t>
        </is>
      </c>
      <c r="D24" s="2" t="inlineStr">
        <is>
          <t>To create</t>
        </is>
      </c>
      <c r="E24" s="2" t="inlineStr">
        <is>
          <t>One Piece</t>
        </is>
      </c>
      <c r="F24" s="2" t="inlineStr">
        <is>
          <t>Character decision explained</t>
        </is>
      </c>
      <c r="G24" s="2" t="inlineStr">
        <is>
          <t>Why Everyone Reacting Makes Luffy Stronger | One Piece</t>
        </is>
      </c>
      <c r="H24" s="2" t="inlineStr"/>
      <c r="I24" s="2" t="inlineStr">
        <is>
          <t>No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>
        <f>IF(L24&gt;0,N24/L24*1000,"")</f>
        <v/>
      </c>
      <c r="S24" s="2">
        <f>IF(L24&gt;0,M24/L24*10000,"")</f>
        <v/>
      </c>
      <c r="T24" s="2">
        <f>IF(AND(L24&gt;=1000,P24&gt;=70),"Double down",IF(AND(L24&lt;100,P24&lt;&gt;""),"Retire hook","Wait"))</f>
        <v/>
      </c>
      <c r="U24" s="2" t="inlineStr"/>
    </row>
    <row r="25">
      <c r="A25" s="2" t="n">
        <v>8</v>
      </c>
      <c r="B25" s="2" t="inlineStr">
        <is>
          <t>2026-06-15</t>
        </is>
      </c>
      <c r="C25" s="2" t="inlineStr">
        <is>
          <t>C</t>
        </is>
      </c>
      <c r="D25" s="2" t="inlineStr">
        <is>
          <t>To create</t>
        </is>
      </c>
      <c r="E25" s="2" t="inlineStr">
        <is>
          <t>Demon Slayer Infinity Castle</t>
        </is>
      </c>
      <c r="F25" s="2" t="inlineStr">
        <is>
          <t>Why this scene works</t>
        </is>
      </c>
      <c r="G25" s="2" t="inlineStr">
        <is>
          <t>Infinity Castle's Real Trick | Demon Slayer Explained</t>
        </is>
      </c>
      <c r="H25" s="2" t="inlineStr"/>
      <c r="I25" s="2" t="inlineStr">
        <is>
          <t>No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>
        <f>IF(L25&gt;0,N25/L25*1000,"")</f>
        <v/>
      </c>
      <c r="S25" s="2">
        <f>IF(L25&gt;0,M25/L25*10000,"")</f>
        <v/>
      </c>
      <c r="T25" s="2">
        <f>IF(AND(L25&gt;=1000,P25&gt;=70),"Double down",IF(AND(L25&lt;100,P25&lt;&gt;""),"Retire hook","Wait"))</f>
        <v/>
      </c>
      <c r="U25" s="2" t="inlineStr"/>
    </row>
    <row r="26">
      <c r="A26" s="2" t="n">
        <v>9</v>
      </c>
      <c r="B26" s="2" t="inlineStr">
        <is>
          <t>2026-06-16</t>
        </is>
      </c>
      <c r="C26" s="2" t="inlineStr">
        <is>
          <t>A</t>
        </is>
      </c>
      <c r="D26" s="2" t="inlineStr">
        <is>
          <t>To create</t>
        </is>
      </c>
      <c r="E26" s="2" t="inlineStr">
        <is>
          <t>Stranger Things</t>
        </is>
      </c>
      <c r="F26" s="2" t="inlineStr">
        <is>
          <t>Character decision explained</t>
        </is>
      </c>
      <c r="G26" s="2" t="inlineStr">
        <is>
          <t>Why Music Works Against Vecna | Stranger Things Explained</t>
        </is>
      </c>
      <c r="H26" s="2" t="inlineStr"/>
      <c r="I26" s="2" t="inlineStr">
        <is>
          <t>No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>
        <f>IF(L26&gt;0,N26/L26*1000,"")</f>
        <v/>
      </c>
      <c r="S26" s="2">
        <f>IF(L26&gt;0,M26/L26*10000,"")</f>
        <v/>
      </c>
      <c r="T26" s="2">
        <f>IF(AND(L26&gt;=1000,P26&gt;=70),"Double down",IF(AND(L26&lt;100,P26&lt;&gt;""),"Retire hook","Wait"))</f>
        <v/>
      </c>
      <c r="U26" s="2" t="inlineStr"/>
    </row>
    <row r="27">
      <c r="A27" s="2" t="n">
        <v>9</v>
      </c>
      <c r="B27" s="2" t="inlineStr">
        <is>
          <t>2026-06-16</t>
        </is>
      </c>
      <c r="C27" s="2" t="inlineStr">
        <is>
          <t>B</t>
        </is>
      </c>
      <c r="D27" s="2" t="inlineStr">
        <is>
          <t>To create</t>
        </is>
      </c>
      <c r="E27" s="2" t="inlineStr">
        <is>
          <t>Stranger Things</t>
        </is>
      </c>
      <c r="F27" s="2" t="inlineStr">
        <is>
          <t>Why this scene works</t>
        </is>
      </c>
      <c r="G27" s="2" t="inlineStr">
        <is>
          <t>Why Will's Quiet Scenes Matter | Stranger Things</t>
        </is>
      </c>
      <c r="H27" s="2" t="inlineStr"/>
      <c r="I27" s="2" t="inlineStr">
        <is>
          <t>No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>
        <f>IF(L27&gt;0,N27/L27*1000,"")</f>
        <v/>
      </c>
      <c r="S27" s="2">
        <f>IF(L27&gt;0,M27/L27*10000,"")</f>
        <v/>
      </c>
      <c r="T27" s="2">
        <f>IF(AND(L27&gt;=1000,P27&gt;=70),"Double down",IF(AND(L27&lt;100,P27&lt;&gt;""),"Retire hook","Wait"))</f>
        <v/>
      </c>
      <c r="U27" s="2" t="inlineStr"/>
    </row>
    <row r="28">
      <c r="A28" s="2" t="n">
        <v>9</v>
      </c>
      <c r="B28" s="2" t="inlineStr">
        <is>
          <t>2026-06-16</t>
        </is>
      </c>
      <c r="C28" s="2" t="inlineStr">
        <is>
          <t>C</t>
        </is>
      </c>
      <c r="D28" s="2" t="inlineStr">
        <is>
          <t>To create</t>
        </is>
      </c>
      <c r="E28" s="2" t="inlineStr">
        <is>
          <t>The Dark Knight</t>
        </is>
      </c>
      <c r="F28" s="2" t="inlineStr">
        <is>
          <t>Hidden detail you missed</t>
        </is>
      </c>
      <c r="G28" s="2" t="inlineStr">
        <is>
          <t>The Joker Hospital Pause Explained | The Dark Knight</t>
        </is>
      </c>
      <c r="H28" s="2" t="inlineStr"/>
      <c r="I28" s="2" t="inlineStr">
        <is>
          <t>No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>
        <f>IF(L28&gt;0,N28/L28*1000,"")</f>
        <v/>
      </c>
      <c r="S28" s="2">
        <f>IF(L28&gt;0,M28/L28*10000,"")</f>
        <v/>
      </c>
      <c r="T28" s="2">
        <f>IF(AND(L28&gt;=1000,P28&gt;=70),"Double down",IF(AND(L28&lt;100,P28&lt;&gt;""),"Retire hook","Wait"))</f>
        <v/>
      </c>
      <c r="U28" s="2" t="inlineStr"/>
    </row>
    <row r="29">
      <c r="A29" s="2" t="n">
        <v>10</v>
      </c>
      <c r="B29" s="2" t="inlineStr">
        <is>
          <t>2026-06-17</t>
        </is>
      </c>
      <c r="C29" s="2" t="inlineStr">
        <is>
          <t>A</t>
        </is>
      </c>
      <c r="D29" s="2" t="inlineStr">
        <is>
          <t>To create</t>
        </is>
      </c>
      <c r="E29" s="2" t="inlineStr">
        <is>
          <t>Batman / DC</t>
        </is>
      </c>
      <c r="F29" s="2" t="inlineStr">
        <is>
          <t>Why this scene works</t>
        </is>
      </c>
      <c r="G29" s="2" t="inlineStr">
        <is>
          <t>Why Villains Steal Batman Scenes | Movie Explained</t>
        </is>
      </c>
      <c r="H29" s="2" t="inlineStr"/>
      <c r="I29" s="2" t="inlineStr">
        <is>
          <t>No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>
        <f>IF(L29&gt;0,N29/L29*1000,"")</f>
        <v/>
      </c>
      <c r="S29" s="2">
        <f>IF(L29&gt;0,M29/L29*10000,"")</f>
        <v/>
      </c>
      <c r="T29" s="2">
        <f>IF(AND(L29&gt;=1000,P29&gt;=70),"Double down",IF(AND(L29&lt;100,P29&lt;&gt;""),"Retire hook","Wait"))</f>
        <v/>
      </c>
      <c r="U29" s="2" t="inlineStr"/>
    </row>
    <row r="30">
      <c r="A30" s="2" t="n">
        <v>10</v>
      </c>
      <c r="B30" s="2" t="inlineStr">
        <is>
          <t>2026-06-17</t>
        </is>
      </c>
      <c r="C30" s="2" t="inlineStr">
        <is>
          <t>B</t>
        </is>
      </c>
      <c r="D30" s="2" t="inlineStr">
        <is>
          <t>To create</t>
        </is>
      </c>
      <c r="E30" s="2" t="inlineStr">
        <is>
          <t>Gachiakuta</t>
        </is>
      </c>
      <c r="F30" s="2" t="inlineStr">
        <is>
          <t>Hidden detail you missed</t>
        </is>
      </c>
      <c r="G30" s="2" t="inlineStr">
        <is>
          <t>Watchman Reveal Explained | Gachiakuta</t>
        </is>
      </c>
      <c r="H30" s="2" t="inlineStr"/>
      <c r="I30" s="2" t="inlineStr">
        <is>
          <t>No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>
        <f>IF(L30&gt;0,N30/L30*1000,"")</f>
        <v/>
      </c>
      <c r="S30" s="2">
        <f>IF(L30&gt;0,M30/L30*10000,"")</f>
        <v/>
      </c>
      <c r="T30" s="2">
        <f>IF(AND(L30&gt;=1000,P30&gt;=70),"Double down",IF(AND(L30&lt;100,P30&lt;&gt;""),"Retire hook","Wait"))</f>
        <v/>
      </c>
      <c r="U30" s="2" t="inlineStr"/>
    </row>
    <row r="31">
      <c r="A31" s="2" t="n">
        <v>10</v>
      </c>
      <c r="B31" s="2" t="inlineStr">
        <is>
          <t>2026-06-17</t>
        </is>
      </c>
      <c r="C31" s="2" t="inlineStr">
        <is>
          <t>C</t>
        </is>
      </c>
      <c r="D31" s="2" t="inlineStr">
        <is>
          <t>To create</t>
        </is>
      </c>
      <c r="E31" s="2" t="inlineStr">
        <is>
          <t>June/July 2026 Movies</t>
        </is>
      </c>
      <c r="F31" s="2" t="inlineStr">
        <is>
          <t>Character decision explained</t>
        </is>
      </c>
      <c r="G31" s="2" t="inlineStr">
        <is>
          <t>The Trailer Shot That Sells the Movie | Movie Explained</t>
        </is>
      </c>
      <c r="H31" s="2" t="inlineStr"/>
      <c r="I31" s="2" t="inlineStr">
        <is>
          <t>No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>
        <f>IF(L31&gt;0,N31/L31*1000,"")</f>
        <v/>
      </c>
      <c r="S31" s="2">
        <f>IF(L31&gt;0,M31/L31*10000,"")</f>
        <v/>
      </c>
      <c r="T31" s="2">
        <f>IF(AND(L31&gt;=1000,P31&gt;=70),"Double down",IF(AND(L31&lt;100,P31&lt;&gt;""),"Retire hook","Wait"))</f>
        <v/>
      </c>
      <c r="U31" s="2" t="inlineStr"/>
    </row>
    <row r="32">
      <c r="A32" s="2" t="n">
        <v>11</v>
      </c>
      <c r="B32" s="2" t="inlineStr">
        <is>
          <t>2026-06-18</t>
        </is>
      </c>
      <c r="C32" s="2" t="inlineStr">
        <is>
          <t>A</t>
        </is>
      </c>
      <c r="D32" s="2" t="inlineStr">
        <is>
          <t>To create</t>
        </is>
      </c>
      <c r="E32" s="2" t="inlineStr">
        <is>
          <t>Chainsaw Man Reze Arc</t>
        </is>
      </c>
      <c r="F32" s="2" t="inlineStr">
        <is>
          <t>Hidden detail you missed</t>
        </is>
      </c>
      <c r="G32" s="2" t="inlineStr">
        <is>
          <t>Reze's Smile Was the Warning | Chainsaw Man Explained</t>
        </is>
      </c>
      <c r="H32" s="2" t="inlineStr"/>
      <c r="I32" s="2" t="inlineStr">
        <is>
          <t>No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>
        <f>IF(L32&gt;0,N32/L32*1000,"")</f>
        <v/>
      </c>
      <c r="S32" s="2">
        <f>IF(L32&gt;0,M32/L32*10000,"")</f>
        <v/>
      </c>
      <c r="T32" s="2">
        <f>IF(AND(L32&gt;=1000,P32&gt;=70),"Double down",IF(AND(L32&lt;100,P32&lt;&gt;""),"Retire hook","Wait"))</f>
        <v/>
      </c>
      <c r="U32" s="2" t="inlineStr"/>
    </row>
    <row r="33">
      <c r="A33" s="2" t="n">
        <v>11</v>
      </c>
      <c r="B33" s="2" t="inlineStr">
        <is>
          <t>2026-06-18</t>
        </is>
      </c>
      <c r="C33" s="2" t="inlineStr">
        <is>
          <t>B</t>
        </is>
      </c>
      <c r="D33" s="2" t="inlineStr">
        <is>
          <t>To create</t>
        </is>
      </c>
      <c r="E33" s="2" t="inlineStr">
        <is>
          <t>Chainsaw Man Reze Arc</t>
        </is>
      </c>
      <c r="F33" s="2" t="inlineStr">
        <is>
          <t>Character decision explained</t>
        </is>
      </c>
      <c r="G33" s="2" t="inlineStr">
        <is>
          <t>Denji's Heart Line Hits Different | Chainsaw Man Explained</t>
        </is>
      </c>
      <c r="H33" s="2" t="inlineStr"/>
      <c r="I33" s="2" t="inlineStr">
        <is>
          <t>No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>
        <f>IF(L33&gt;0,N33/L33*1000,"")</f>
        <v/>
      </c>
      <c r="S33" s="2">
        <f>IF(L33&gt;0,M33/L33*10000,"")</f>
        <v/>
      </c>
      <c r="T33" s="2">
        <f>IF(AND(L33&gt;=1000,P33&gt;=70),"Double down",IF(AND(L33&lt;100,P33&lt;&gt;""),"Retire hook","Wait"))</f>
        <v/>
      </c>
      <c r="U33" s="2" t="inlineStr"/>
    </row>
    <row r="34">
      <c r="A34" s="2" t="n">
        <v>11</v>
      </c>
      <c r="B34" s="2" t="inlineStr">
        <is>
          <t>2026-06-18</t>
        </is>
      </c>
      <c r="C34" s="2" t="inlineStr">
        <is>
          <t>C</t>
        </is>
      </c>
      <c r="D34" s="2" t="inlineStr">
        <is>
          <t>To create</t>
        </is>
      </c>
      <c r="E34" s="2" t="inlineStr">
        <is>
          <t>Chainsaw Man Reze Arc</t>
        </is>
      </c>
      <c r="F34" s="2" t="inlineStr">
        <is>
          <t>Why this scene works</t>
        </is>
      </c>
      <c r="G34" s="2" t="inlineStr">
        <is>
          <t>City Mouse vs Country Mouse | Reze Arc Explained</t>
        </is>
      </c>
      <c r="H34" s="2" t="inlineStr"/>
      <c r="I34" s="2" t="inlineStr">
        <is>
          <t>No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>
        <f>IF(L34&gt;0,N34/L34*1000,"")</f>
        <v/>
      </c>
      <c r="S34" s="2">
        <f>IF(L34&gt;0,M34/L34*10000,"")</f>
        <v/>
      </c>
      <c r="T34" s="2">
        <f>IF(AND(L34&gt;=1000,P34&gt;=70),"Double down",IF(AND(L34&lt;100,P34&lt;&gt;""),"Retire hook","Wait"))</f>
        <v/>
      </c>
      <c r="U34" s="2" t="inlineStr"/>
    </row>
    <row r="35">
      <c r="A35" s="2" t="n">
        <v>12</v>
      </c>
      <c r="B35" s="2" t="inlineStr">
        <is>
          <t>2026-06-19</t>
        </is>
      </c>
      <c r="C35" s="2" t="inlineStr">
        <is>
          <t>A</t>
        </is>
      </c>
      <c r="D35" s="2" t="inlineStr">
        <is>
          <t>To create</t>
        </is>
      </c>
      <c r="E35" s="2" t="inlineStr">
        <is>
          <t>One Piece</t>
        </is>
      </c>
      <c r="F35" s="2" t="inlineStr">
        <is>
          <t>Character decision explained</t>
        </is>
      </c>
      <c r="G35" s="2" t="inlineStr">
        <is>
          <t>Whitebeard's Final Prophecy Explained | One Piece</t>
        </is>
      </c>
      <c r="H35" s="2" t="inlineStr"/>
      <c r="I35" s="2" t="inlineStr">
        <is>
          <t>No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>
        <f>IF(L35&gt;0,N35/L35*1000,"")</f>
        <v/>
      </c>
      <c r="S35" s="2">
        <f>IF(L35&gt;0,M35/L35*10000,"")</f>
        <v/>
      </c>
      <c r="T35" s="2">
        <f>IF(AND(L35&gt;=1000,P35&gt;=70),"Double down",IF(AND(L35&lt;100,P35&lt;&gt;""),"Retire hook","Wait"))</f>
        <v/>
      </c>
      <c r="U35" s="2" t="inlineStr"/>
    </row>
    <row r="36">
      <c r="A36" s="2" t="n">
        <v>12</v>
      </c>
      <c r="B36" s="2" t="inlineStr">
        <is>
          <t>2026-06-19</t>
        </is>
      </c>
      <c r="C36" s="2" t="inlineStr">
        <is>
          <t>B</t>
        </is>
      </c>
      <c r="D36" s="2" t="inlineStr">
        <is>
          <t>To create</t>
        </is>
      </c>
      <c r="E36" s="2" t="inlineStr">
        <is>
          <t>One Piece</t>
        </is>
      </c>
      <c r="F36" s="2" t="inlineStr">
        <is>
          <t>Why this scene works</t>
        </is>
      </c>
      <c r="G36" s="2" t="inlineStr">
        <is>
          <t>Why Everyone Reacting Makes Luffy Stronger | One Piece</t>
        </is>
      </c>
      <c r="H36" s="2" t="inlineStr"/>
      <c r="I36" s="2" t="inlineStr">
        <is>
          <t>No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>
        <f>IF(L36&gt;0,N36/L36*1000,"")</f>
        <v/>
      </c>
      <c r="S36" s="2">
        <f>IF(L36&gt;0,M36/L36*10000,"")</f>
        <v/>
      </c>
      <c r="T36" s="2">
        <f>IF(AND(L36&gt;=1000,P36&gt;=70),"Double down",IF(AND(L36&lt;100,P36&lt;&gt;""),"Retire hook","Wait"))</f>
        <v/>
      </c>
      <c r="U36" s="2" t="inlineStr"/>
    </row>
    <row r="37">
      <c r="A37" s="2" t="n">
        <v>12</v>
      </c>
      <c r="B37" s="2" t="inlineStr">
        <is>
          <t>2026-06-19</t>
        </is>
      </c>
      <c r="C37" s="2" t="inlineStr">
        <is>
          <t>C</t>
        </is>
      </c>
      <c r="D37" s="2" t="inlineStr">
        <is>
          <t>To create</t>
        </is>
      </c>
      <c r="E37" s="2" t="inlineStr">
        <is>
          <t>Demon Slayer Infinity Castle</t>
        </is>
      </c>
      <c r="F37" s="2" t="inlineStr">
        <is>
          <t>Hidden detail you missed</t>
        </is>
      </c>
      <c r="G37" s="2" t="inlineStr">
        <is>
          <t>Infinity Castle's Real Trick | Demon Slayer Explained</t>
        </is>
      </c>
      <c r="H37" s="2" t="inlineStr"/>
      <c r="I37" s="2" t="inlineStr">
        <is>
          <t>No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>
        <f>IF(L37&gt;0,N37/L37*1000,"")</f>
        <v/>
      </c>
      <c r="S37" s="2">
        <f>IF(L37&gt;0,M37/L37*10000,"")</f>
        <v/>
      </c>
      <c r="T37" s="2">
        <f>IF(AND(L37&gt;=1000,P37&gt;=70),"Double down",IF(AND(L37&lt;100,P37&lt;&gt;""),"Retire hook","Wait"))</f>
        <v/>
      </c>
      <c r="U37" s="2" t="inlineStr"/>
    </row>
    <row r="38">
      <c r="A38" s="2" t="n">
        <v>13</v>
      </c>
      <c r="B38" s="2" t="inlineStr">
        <is>
          <t>2026-06-20</t>
        </is>
      </c>
      <c r="C38" s="2" t="inlineStr">
        <is>
          <t>A</t>
        </is>
      </c>
      <c r="D38" s="2" t="inlineStr">
        <is>
          <t>To create</t>
        </is>
      </c>
      <c r="E38" s="2" t="inlineStr">
        <is>
          <t>Stranger Things</t>
        </is>
      </c>
      <c r="F38" s="2" t="inlineStr">
        <is>
          <t>Why this scene works</t>
        </is>
      </c>
      <c r="G38" s="2" t="inlineStr">
        <is>
          <t>Why Music Works Against Vecna | Stranger Things Explained</t>
        </is>
      </c>
      <c r="H38" s="2" t="inlineStr"/>
      <c r="I38" s="2" t="inlineStr">
        <is>
          <t>No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>
        <f>IF(L38&gt;0,N38/L38*1000,"")</f>
        <v/>
      </c>
      <c r="S38" s="2">
        <f>IF(L38&gt;0,M38/L38*10000,"")</f>
        <v/>
      </c>
      <c r="T38" s="2">
        <f>IF(AND(L38&gt;=1000,P38&gt;=70),"Double down",IF(AND(L38&lt;100,P38&lt;&gt;""),"Retire hook","Wait"))</f>
        <v/>
      </c>
      <c r="U38" s="2" t="inlineStr"/>
    </row>
    <row r="39">
      <c r="A39" s="2" t="n">
        <v>13</v>
      </c>
      <c r="B39" s="2" t="inlineStr">
        <is>
          <t>2026-06-20</t>
        </is>
      </c>
      <c r="C39" s="2" t="inlineStr">
        <is>
          <t>B</t>
        </is>
      </c>
      <c r="D39" s="2" t="inlineStr">
        <is>
          <t>To create</t>
        </is>
      </c>
      <c r="E39" s="2" t="inlineStr">
        <is>
          <t>Stranger Things</t>
        </is>
      </c>
      <c r="F39" s="2" t="inlineStr">
        <is>
          <t>Hidden detail you missed</t>
        </is>
      </c>
      <c r="G39" s="2" t="inlineStr">
        <is>
          <t>Why Will's Quiet Scenes Matter | Stranger Things</t>
        </is>
      </c>
      <c r="H39" s="2" t="inlineStr"/>
      <c r="I39" s="2" t="inlineStr">
        <is>
          <t>No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>
        <f>IF(L39&gt;0,N39/L39*1000,"")</f>
        <v/>
      </c>
      <c r="S39" s="2">
        <f>IF(L39&gt;0,M39/L39*10000,"")</f>
        <v/>
      </c>
      <c r="T39" s="2">
        <f>IF(AND(L39&gt;=1000,P39&gt;=70),"Double down",IF(AND(L39&lt;100,P39&lt;&gt;""),"Retire hook","Wait"))</f>
        <v/>
      </c>
      <c r="U39" s="2" t="inlineStr"/>
    </row>
    <row r="40">
      <c r="A40" s="2" t="n">
        <v>13</v>
      </c>
      <c r="B40" s="2" t="inlineStr">
        <is>
          <t>2026-06-20</t>
        </is>
      </c>
      <c r="C40" s="2" t="inlineStr">
        <is>
          <t>C</t>
        </is>
      </c>
      <c r="D40" s="2" t="inlineStr">
        <is>
          <t>To create</t>
        </is>
      </c>
      <c r="E40" s="2" t="inlineStr">
        <is>
          <t>The Dark Knight</t>
        </is>
      </c>
      <c r="F40" s="2" t="inlineStr">
        <is>
          <t>Character decision explained</t>
        </is>
      </c>
      <c r="G40" s="2" t="inlineStr">
        <is>
          <t>The Joker Hospital Pause Explained | The Dark Knight</t>
        </is>
      </c>
      <c r="H40" s="2" t="inlineStr"/>
      <c r="I40" s="2" t="inlineStr">
        <is>
          <t>No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>
        <f>IF(L40&gt;0,N40/L40*1000,"")</f>
        <v/>
      </c>
      <c r="S40" s="2">
        <f>IF(L40&gt;0,M40/L40*10000,"")</f>
        <v/>
      </c>
      <c r="T40" s="2">
        <f>IF(AND(L40&gt;=1000,P40&gt;=70),"Double down",IF(AND(L40&lt;100,P40&lt;&gt;""),"Retire hook","Wait"))</f>
        <v/>
      </c>
      <c r="U40" s="2" t="inlineStr"/>
    </row>
    <row r="41">
      <c r="A41" s="2" t="n">
        <v>14</v>
      </c>
      <c r="B41" s="2" t="inlineStr">
        <is>
          <t>2026-06-21</t>
        </is>
      </c>
      <c r="C41" s="2" t="inlineStr">
        <is>
          <t>A</t>
        </is>
      </c>
      <c r="D41" s="2" t="inlineStr">
        <is>
          <t>To create</t>
        </is>
      </c>
      <c r="E41" s="2" t="inlineStr">
        <is>
          <t>Batman / DC</t>
        </is>
      </c>
      <c r="F41" s="2" t="inlineStr">
        <is>
          <t>Hidden detail you missed</t>
        </is>
      </c>
      <c r="G41" s="2" t="inlineStr">
        <is>
          <t>Why Villains Steal Batman Scenes | Movie Explained</t>
        </is>
      </c>
      <c r="H41" s="2" t="inlineStr"/>
      <c r="I41" s="2" t="inlineStr">
        <is>
          <t>No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>
        <f>IF(L41&gt;0,N41/L41*1000,"")</f>
        <v/>
      </c>
      <c r="S41" s="2">
        <f>IF(L41&gt;0,M41/L41*10000,"")</f>
        <v/>
      </c>
      <c r="T41" s="2">
        <f>IF(AND(L41&gt;=1000,P41&gt;=70),"Double down",IF(AND(L41&lt;100,P41&lt;&gt;""),"Retire hook","Wait"))</f>
        <v/>
      </c>
      <c r="U41" s="2" t="inlineStr"/>
    </row>
    <row r="42">
      <c r="A42" s="2" t="n">
        <v>14</v>
      </c>
      <c r="B42" s="2" t="inlineStr">
        <is>
          <t>2026-06-21</t>
        </is>
      </c>
      <c r="C42" s="2" t="inlineStr">
        <is>
          <t>B</t>
        </is>
      </c>
      <c r="D42" s="2" t="inlineStr">
        <is>
          <t>To create</t>
        </is>
      </c>
      <c r="E42" s="2" t="inlineStr">
        <is>
          <t>Gachiakuta</t>
        </is>
      </c>
      <c r="F42" s="2" t="inlineStr">
        <is>
          <t>Character decision explained</t>
        </is>
      </c>
      <c r="G42" s="2" t="inlineStr">
        <is>
          <t>Watchman Reveal Explained | Gachiakuta</t>
        </is>
      </c>
      <c r="H42" s="2" t="inlineStr"/>
      <c r="I42" s="2" t="inlineStr">
        <is>
          <t>No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>
        <f>IF(L42&gt;0,N42/L42*1000,"")</f>
        <v/>
      </c>
      <c r="S42" s="2">
        <f>IF(L42&gt;0,M42/L42*10000,"")</f>
        <v/>
      </c>
      <c r="T42" s="2">
        <f>IF(AND(L42&gt;=1000,P42&gt;=70),"Double down",IF(AND(L42&lt;100,P42&lt;&gt;""),"Retire hook","Wait"))</f>
        <v/>
      </c>
      <c r="U42" s="2" t="inlineStr"/>
    </row>
    <row r="43">
      <c r="A43" s="2" t="n">
        <v>14</v>
      </c>
      <c r="B43" s="2" t="inlineStr">
        <is>
          <t>2026-06-21</t>
        </is>
      </c>
      <c r="C43" s="2" t="inlineStr">
        <is>
          <t>C</t>
        </is>
      </c>
      <c r="D43" s="2" t="inlineStr">
        <is>
          <t>To create</t>
        </is>
      </c>
      <c r="E43" s="2" t="inlineStr">
        <is>
          <t>June/July 2026 Movies</t>
        </is>
      </c>
      <c r="F43" s="2" t="inlineStr">
        <is>
          <t>Why this scene works</t>
        </is>
      </c>
      <c r="G43" s="2" t="inlineStr">
        <is>
          <t>The Trailer Shot That Sells the Movie | Movie Explained</t>
        </is>
      </c>
      <c r="H43" s="2" t="inlineStr"/>
      <c r="I43" s="2" t="inlineStr">
        <is>
          <t>No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>
        <f>IF(L43&gt;0,N43/L43*1000,"")</f>
        <v/>
      </c>
      <c r="S43" s="2">
        <f>IF(L43&gt;0,M43/L43*10000,"")</f>
        <v/>
      </c>
      <c r="T43" s="2">
        <f>IF(AND(L43&gt;=1000,P43&gt;=70),"Double down",IF(AND(L43&lt;100,P43&lt;&gt;""),"Retire hook","Wait"))</f>
        <v/>
      </c>
      <c r="U43" s="2" t="inlineStr"/>
    </row>
    <row r="44">
      <c r="A44" s="2" t="n">
        <v>15</v>
      </c>
      <c r="B44" s="2" t="inlineStr">
        <is>
          <t>2026-06-22</t>
        </is>
      </c>
      <c r="C44" s="2" t="inlineStr">
        <is>
          <t>A</t>
        </is>
      </c>
      <c r="D44" s="2" t="inlineStr">
        <is>
          <t>To create</t>
        </is>
      </c>
      <c r="E44" s="2" t="inlineStr">
        <is>
          <t>Chainsaw Man Reze Arc</t>
        </is>
      </c>
      <c r="F44" s="2" t="inlineStr">
        <is>
          <t>Character decision explained</t>
        </is>
      </c>
      <c r="G44" s="2" t="inlineStr">
        <is>
          <t>Reze's Smile Was the Warning | Chainsaw Man Explained</t>
        </is>
      </c>
      <c r="H44" s="2" t="inlineStr"/>
      <c r="I44" s="2" t="inlineStr">
        <is>
          <t>No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>
        <f>IF(L44&gt;0,N44/L44*1000,"")</f>
        <v/>
      </c>
      <c r="S44" s="2">
        <f>IF(L44&gt;0,M44/L44*10000,"")</f>
        <v/>
      </c>
      <c r="T44" s="2">
        <f>IF(AND(L44&gt;=1000,P44&gt;=70),"Double down",IF(AND(L44&lt;100,P44&lt;&gt;""),"Retire hook","Wait"))</f>
        <v/>
      </c>
      <c r="U44" s="2" t="inlineStr"/>
    </row>
    <row r="45">
      <c r="A45" s="2" t="n">
        <v>15</v>
      </c>
      <c r="B45" s="2" t="inlineStr">
        <is>
          <t>2026-06-22</t>
        </is>
      </c>
      <c r="C45" s="2" t="inlineStr">
        <is>
          <t>B</t>
        </is>
      </c>
      <c r="D45" s="2" t="inlineStr">
        <is>
          <t>To create</t>
        </is>
      </c>
      <c r="E45" s="2" t="inlineStr">
        <is>
          <t>Chainsaw Man Reze Arc</t>
        </is>
      </c>
      <c r="F45" s="2" t="inlineStr">
        <is>
          <t>Why this scene works</t>
        </is>
      </c>
      <c r="G45" s="2" t="inlineStr">
        <is>
          <t>Denji's Heart Line Hits Different | Chainsaw Man Explained</t>
        </is>
      </c>
      <c r="H45" s="2" t="inlineStr"/>
      <c r="I45" s="2" t="inlineStr">
        <is>
          <t>No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>
        <f>IF(L45&gt;0,N45/L45*1000,"")</f>
        <v/>
      </c>
      <c r="S45" s="2">
        <f>IF(L45&gt;0,M45/L45*10000,"")</f>
        <v/>
      </c>
      <c r="T45" s="2">
        <f>IF(AND(L45&gt;=1000,P45&gt;=70),"Double down",IF(AND(L45&lt;100,P45&lt;&gt;""),"Retire hook","Wait"))</f>
        <v/>
      </c>
      <c r="U45" s="2" t="inlineStr"/>
    </row>
    <row r="46">
      <c r="A46" s="2" t="n">
        <v>15</v>
      </c>
      <c r="B46" s="2" t="inlineStr">
        <is>
          <t>2026-06-22</t>
        </is>
      </c>
      <c r="C46" s="2" t="inlineStr">
        <is>
          <t>C</t>
        </is>
      </c>
      <c r="D46" s="2" t="inlineStr">
        <is>
          <t>To create</t>
        </is>
      </c>
      <c r="E46" s="2" t="inlineStr">
        <is>
          <t>Chainsaw Man Reze Arc</t>
        </is>
      </c>
      <c r="F46" s="2" t="inlineStr">
        <is>
          <t>Hidden detail you missed</t>
        </is>
      </c>
      <c r="G46" s="2" t="inlineStr">
        <is>
          <t>City Mouse vs Country Mouse | Reze Arc Explained</t>
        </is>
      </c>
      <c r="H46" s="2" t="inlineStr"/>
      <c r="I46" s="2" t="inlineStr">
        <is>
          <t>No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>
        <f>IF(L46&gt;0,N46/L46*1000,"")</f>
        <v/>
      </c>
      <c r="S46" s="2">
        <f>IF(L46&gt;0,M46/L46*10000,"")</f>
        <v/>
      </c>
      <c r="T46" s="2">
        <f>IF(AND(L46&gt;=1000,P46&gt;=70),"Double down",IF(AND(L46&lt;100,P46&lt;&gt;""),"Retire hook","Wait"))</f>
        <v/>
      </c>
      <c r="U46" s="2" t="inlineStr"/>
    </row>
    <row r="47">
      <c r="A47" s="2" t="n">
        <v>16</v>
      </c>
      <c r="B47" s="2" t="inlineStr">
        <is>
          <t>2026-06-23</t>
        </is>
      </c>
      <c r="C47" s="2" t="inlineStr">
        <is>
          <t>A</t>
        </is>
      </c>
      <c r="D47" s="2" t="inlineStr">
        <is>
          <t>To create</t>
        </is>
      </c>
      <c r="E47" s="2" t="inlineStr">
        <is>
          <t>One Piece</t>
        </is>
      </c>
      <c r="F47" s="2" t="inlineStr">
        <is>
          <t>Why this scene works</t>
        </is>
      </c>
      <c r="G47" s="2" t="inlineStr">
        <is>
          <t>Whitebeard's Final Prophecy Explained | One Piece</t>
        </is>
      </c>
      <c r="H47" s="2" t="inlineStr"/>
      <c r="I47" s="2" t="inlineStr">
        <is>
          <t>No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>
        <f>IF(L47&gt;0,N47/L47*1000,"")</f>
        <v/>
      </c>
      <c r="S47" s="2">
        <f>IF(L47&gt;0,M47/L47*10000,"")</f>
        <v/>
      </c>
      <c r="T47" s="2">
        <f>IF(AND(L47&gt;=1000,P47&gt;=70),"Double down",IF(AND(L47&lt;100,P47&lt;&gt;""),"Retire hook","Wait"))</f>
        <v/>
      </c>
      <c r="U47" s="2" t="inlineStr"/>
    </row>
    <row r="48">
      <c r="A48" s="2" t="n">
        <v>16</v>
      </c>
      <c r="B48" s="2" t="inlineStr">
        <is>
          <t>2026-06-23</t>
        </is>
      </c>
      <c r="C48" s="2" t="inlineStr">
        <is>
          <t>B</t>
        </is>
      </c>
      <c r="D48" s="2" t="inlineStr">
        <is>
          <t>To create</t>
        </is>
      </c>
      <c r="E48" s="2" t="inlineStr">
        <is>
          <t>One Piece</t>
        </is>
      </c>
      <c r="F48" s="2" t="inlineStr">
        <is>
          <t>Hidden detail you missed</t>
        </is>
      </c>
      <c r="G48" s="2" t="inlineStr">
        <is>
          <t>Why Everyone Reacting Makes Luffy Stronger | One Piece</t>
        </is>
      </c>
      <c r="H48" s="2" t="inlineStr"/>
      <c r="I48" s="2" t="inlineStr">
        <is>
          <t>No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>
        <f>IF(L48&gt;0,N48/L48*1000,"")</f>
        <v/>
      </c>
      <c r="S48" s="2">
        <f>IF(L48&gt;0,M48/L48*10000,"")</f>
        <v/>
      </c>
      <c r="T48" s="2">
        <f>IF(AND(L48&gt;=1000,P48&gt;=70),"Double down",IF(AND(L48&lt;100,P48&lt;&gt;""),"Retire hook","Wait"))</f>
        <v/>
      </c>
      <c r="U48" s="2" t="inlineStr"/>
    </row>
    <row r="49">
      <c r="A49" s="2" t="n">
        <v>16</v>
      </c>
      <c r="B49" s="2" t="inlineStr">
        <is>
          <t>2026-06-23</t>
        </is>
      </c>
      <c r="C49" s="2" t="inlineStr">
        <is>
          <t>C</t>
        </is>
      </c>
      <c r="D49" s="2" t="inlineStr">
        <is>
          <t>To create</t>
        </is>
      </c>
      <c r="E49" s="2" t="inlineStr">
        <is>
          <t>Demon Slayer Infinity Castle</t>
        </is>
      </c>
      <c r="F49" s="2" t="inlineStr">
        <is>
          <t>Character decision explained</t>
        </is>
      </c>
      <c r="G49" s="2" t="inlineStr">
        <is>
          <t>Infinity Castle's Real Trick | Demon Slayer Explained</t>
        </is>
      </c>
      <c r="H49" s="2" t="inlineStr"/>
      <c r="I49" s="2" t="inlineStr">
        <is>
          <t>No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>
        <f>IF(L49&gt;0,N49/L49*1000,"")</f>
        <v/>
      </c>
      <c r="S49" s="2">
        <f>IF(L49&gt;0,M49/L49*10000,"")</f>
        <v/>
      </c>
      <c r="T49" s="2">
        <f>IF(AND(L49&gt;=1000,P49&gt;=70),"Double down",IF(AND(L49&lt;100,P49&lt;&gt;""),"Retire hook","Wait"))</f>
        <v/>
      </c>
      <c r="U49" s="2" t="inlineStr"/>
    </row>
    <row r="50">
      <c r="A50" s="2" t="n">
        <v>17</v>
      </c>
      <c r="B50" s="2" t="inlineStr">
        <is>
          <t>2026-06-24</t>
        </is>
      </c>
      <c r="C50" s="2" t="inlineStr">
        <is>
          <t>A</t>
        </is>
      </c>
      <c r="D50" s="2" t="inlineStr">
        <is>
          <t>To create</t>
        </is>
      </c>
      <c r="E50" s="2" t="inlineStr">
        <is>
          <t>Stranger Things</t>
        </is>
      </c>
      <c r="F50" s="2" t="inlineStr">
        <is>
          <t>Hidden detail you missed</t>
        </is>
      </c>
      <c r="G50" s="2" t="inlineStr">
        <is>
          <t>Why Music Works Against Vecna | Stranger Things Explained</t>
        </is>
      </c>
      <c r="H50" s="2" t="inlineStr"/>
      <c r="I50" s="2" t="inlineStr">
        <is>
          <t>No</t>
        </is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>
        <f>IF(L50&gt;0,N50/L50*1000,"")</f>
        <v/>
      </c>
      <c r="S50" s="2">
        <f>IF(L50&gt;0,M50/L50*10000,"")</f>
        <v/>
      </c>
      <c r="T50" s="2">
        <f>IF(AND(L50&gt;=1000,P50&gt;=70),"Double down",IF(AND(L50&lt;100,P50&lt;&gt;""),"Retire hook","Wait"))</f>
        <v/>
      </c>
      <c r="U50" s="2" t="inlineStr"/>
    </row>
    <row r="51">
      <c r="A51" s="2" t="n">
        <v>17</v>
      </c>
      <c r="B51" s="2" t="inlineStr">
        <is>
          <t>2026-06-24</t>
        </is>
      </c>
      <c r="C51" s="2" t="inlineStr">
        <is>
          <t>B</t>
        </is>
      </c>
      <c r="D51" s="2" t="inlineStr">
        <is>
          <t>To create</t>
        </is>
      </c>
      <c r="E51" s="2" t="inlineStr">
        <is>
          <t>Stranger Things</t>
        </is>
      </c>
      <c r="F51" s="2" t="inlineStr">
        <is>
          <t>Character decision explained</t>
        </is>
      </c>
      <c r="G51" s="2" t="inlineStr">
        <is>
          <t>Why Will's Quiet Scenes Matter | Stranger Things</t>
        </is>
      </c>
      <c r="H51" s="2" t="inlineStr"/>
      <c r="I51" s="2" t="inlineStr">
        <is>
          <t>No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>
        <f>IF(L51&gt;0,N51/L51*1000,"")</f>
        <v/>
      </c>
      <c r="S51" s="2">
        <f>IF(L51&gt;0,M51/L51*10000,"")</f>
        <v/>
      </c>
      <c r="T51" s="2">
        <f>IF(AND(L51&gt;=1000,P51&gt;=70),"Double down",IF(AND(L51&lt;100,P51&lt;&gt;""),"Retire hook","Wait"))</f>
        <v/>
      </c>
      <c r="U51" s="2" t="inlineStr"/>
    </row>
    <row r="52">
      <c r="A52" s="2" t="n">
        <v>17</v>
      </c>
      <c r="B52" s="2" t="inlineStr">
        <is>
          <t>2026-06-24</t>
        </is>
      </c>
      <c r="C52" s="2" t="inlineStr">
        <is>
          <t>C</t>
        </is>
      </c>
      <c r="D52" s="2" t="inlineStr">
        <is>
          <t>To create</t>
        </is>
      </c>
      <c r="E52" s="2" t="inlineStr">
        <is>
          <t>The Dark Knight</t>
        </is>
      </c>
      <c r="F52" s="2" t="inlineStr">
        <is>
          <t>Why this scene works</t>
        </is>
      </c>
      <c r="G52" s="2" t="inlineStr">
        <is>
          <t>The Joker Hospital Pause Explained | The Dark Knight</t>
        </is>
      </c>
      <c r="H52" s="2" t="inlineStr"/>
      <c r="I52" s="2" t="inlineStr">
        <is>
          <t>No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>
        <f>IF(L52&gt;0,N52/L52*1000,"")</f>
        <v/>
      </c>
      <c r="S52" s="2">
        <f>IF(L52&gt;0,M52/L52*10000,"")</f>
        <v/>
      </c>
      <c r="T52" s="2">
        <f>IF(AND(L52&gt;=1000,P52&gt;=70),"Double down",IF(AND(L52&lt;100,P52&lt;&gt;""),"Retire hook","Wait"))</f>
        <v/>
      </c>
      <c r="U52" s="2" t="inlineStr"/>
    </row>
    <row r="53">
      <c r="A53" s="2" t="n">
        <v>18</v>
      </c>
      <c r="B53" s="2" t="inlineStr">
        <is>
          <t>2026-06-25</t>
        </is>
      </c>
      <c r="C53" s="2" t="inlineStr">
        <is>
          <t>A</t>
        </is>
      </c>
      <c r="D53" s="2" t="inlineStr">
        <is>
          <t>To create</t>
        </is>
      </c>
      <c r="E53" s="2" t="inlineStr">
        <is>
          <t>Batman / DC</t>
        </is>
      </c>
      <c r="F53" s="2" t="inlineStr">
        <is>
          <t>Character decision explained</t>
        </is>
      </c>
      <c r="G53" s="2" t="inlineStr">
        <is>
          <t>Why Villains Steal Batman Scenes | Movie Explained</t>
        </is>
      </c>
      <c r="H53" s="2" t="inlineStr"/>
      <c r="I53" s="2" t="inlineStr">
        <is>
          <t>No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>
        <f>IF(L53&gt;0,N53/L53*1000,"")</f>
        <v/>
      </c>
      <c r="S53" s="2">
        <f>IF(L53&gt;0,M53/L53*10000,"")</f>
        <v/>
      </c>
      <c r="T53" s="2">
        <f>IF(AND(L53&gt;=1000,P53&gt;=70),"Double down",IF(AND(L53&lt;100,P53&lt;&gt;""),"Retire hook","Wait"))</f>
        <v/>
      </c>
      <c r="U53" s="2" t="inlineStr"/>
    </row>
    <row r="54">
      <c r="A54" s="2" t="n">
        <v>18</v>
      </c>
      <c r="B54" s="2" t="inlineStr">
        <is>
          <t>2026-06-25</t>
        </is>
      </c>
      <c r="C54" s="2" t="inlineStr">
        <is>
          <t>B</t>
        </is>
      </c>
      <c r="D54" s="2" t="inlineStr">
        <is>
          <t>To create</t>
        </is>
      </c>
      <c r="E54" s="2" t="inlineStr">
        <is>
          <t>Gachiakuta</t>
        </is>
      </c>
      <c r="F54" s="2" t="inlineStr">
        <is>
          <t>Why this scene works</t>
        </is>
      </c>
      <c r="G54" s="2" t="inlineStr">
        <is>
          <t>Watchman Reveal Explained | Gachiakuta</t>
        </is>
      </c>
      <c r="H54" s="2" t="inlineStr"/>
      <c r="I54" s="2" t="inlineStr">
        <is>
          <t>No</t>
        </is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>
        <f>IF(L54&gt;0,N54/L54*1000,"")</f>
        <v/>
      </c>
      <c r="S54" s="2">
        <f>IF(L54&gt;0,M54/L54*10000,"")</f>
        <v/>
      </c>
      <c r="T54" s="2">
        <f>IF(AND(L54&gt;=1000,P54&gt;=70),"Double down",IF(AND(L54&lt;100,P54&lt;&gt;""),"Retire hook","Wait"))</f>
        <v/>
      </c>
      <c r="U54" s="2" t="inlineStr"/>
    </row>
    <row r="55">
      <c r="A55" s="2" t="n">
        <v>18</v>
      </c>
      <c r="B55" s="2" t="inlineStr">
        <is>
          <t>2026-06-25</t>
        </is>
      </c>
      <c r="C55" s="2" t="inlineStr">
        <is>
          <t>C</t>
        </is>
      </c>
      <c r="D55" s="2" t="inlineStr">
        <is>
          <t>To create</t>
        </is>
      </c>
      <c r="E55" s="2" t="inlineStr">
        <is>
          <t>June/July 2026 Movies</t>
        </is>
      </c>
      <c r="F55" s="2" t="inlineStr">
        <is>
          <t>Hidden detail you missed</t>
        </is>
      </c>
      <c r="G55" s="2" t="inlineStr">
        <is>
          <t>The Trailer Shot That Sells the Movie | Movie Explained</t>
        </is>
      </c>
      <c r="H55" s="2" t="inlineStr"/>
      <c r="I55" s="2" t="inlineStr">
        <is>
          <t>No</t>
        </is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>
        <f>IF(L55&gt;0,N55/L55*1000,"")</f>
        <v/>
      </c>
      <c r="S55" s="2">
        <f>IF(L55&gt;0,M55/L55*10000,"")</f>
        <v/>
      </c>
      <c r="T55" s="2">
        <f>IF(AND(L55&gt;=1000,P55&gt;=70),"Double down",IF(AND(L55&lt;100,P55&lt;&gt;""),"Retire hook","Wait"))</f>
        <v/>
      </c>
      <c r="U55" s="2" t="inlineStr"/>
    </row>
    <row r="56">
      <c r="A56" s="2" t="n">
        <v>19</v>
      </c>
      <c r="B56" s="2" t="inlineStr">
        <is>
          <t>2026-06-26</t>
        </is>
      </c>
      <c r="C56" s="2" t="inlineStr">
        <is>
          <t>A</t>
        </is>
      </c>
      <c r="D56" s="2" t="inlineStr">
        <is>
          <t>To create</t>
        </is>
      </c>
      <c r="E56" s="2" t="inlineStr">
        <is>
          <t>Chainsaw Man Reze Arc</t>
        </is>
      </c>
      <c r="F56" s="2" t="inlineStr">
        <is>
          <t>Why this scene works</t>
        </is>
      </c>
      <c r="G56" s="2" t="inlineStr">
        <is>
          <t>Reze's Smile Was the Warning | Chainsaw Man Explained</t>
        </is>
      </c>
      <c r="H56" s="2" t="inlineStr"/>
      <c r="I56" s="2" t="inlineStr">
        <is>
          <t>No</t>
        </is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>
        <f>IF(L56&gt;0,N56/L56*1000,"")</f>
        <v/>
      </c>
      <c r="S56" s="2">
        <f>IF(L56&gt;0,M56/L56*10000,"")</f>
        <v/>
      </c>
      <c r="T56" s="2">
        <f>IF(AND(L56&gt;=1000,P56&gt;=70),"Double down",IF(AND(L56&lt;100,P56&lt;&gt;""),"Retire hook","Wait"))</f>
        <v/>
      </c>
      <c r="U56" s="2" t="inlineStr"/>
    </row>
    <row r="57">
      <c r="A57" s="2" t="n">
        <v>19</v>
      </c>
      <c r="B57" s="2" t="inlineStr">
        <is>
          <t>2026-06-26</t>
        </is>
      </c>
      <c r="C57" s="2" t="inlineStr">
        <is>
          <t>B</t>
        </is>
      </c>
      <c r="D57" s="2" t="inlineStr">
        <is>
          <t>To create</t>
        </is>
      </c>
      <c r="E57" s="2" t="inlineStr">
        <is>
          <t>Chainsaw Man Reze Arc</t>
        </is>
      </c>
      <c r="F57" s="2" t="inlineStr">
        <is>
          <t>Hidden detail you missed</t>
        </is>
      </c>
      <c r="G57" s="2" t="inlineStr">
        <is>
          <t>Denji's Heart Line Hits Different | Chainsaw Man Explained</t>
        </is>
      </c>
      <c r="H57" s="2" t="inlineStr"/>
      <c r="I57" s="2" t="inlineStr">
        <is>
          <t>No</t>
        </is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>
        <f>IF(L57&gt;0,N57/L57*1000,"")</f>
        <v/>
      </c>
      <c r="S57" s="2">
        <f>IF(L57&gt;0,M57/L57*10000,"")</f>
        <v/>
      </c>
      <c r="T57" s="2">
        <f>IF(AND(L57&gt;=1000,P57&gt;=70),"Double down",IF(AND(L57&lt;100,P57&lt;&gt;""),"Retire hook","Wait"))</f>
        <v/>
      </c>
      <c r="U57" s="2" t="inlineStr"/>
    </row>
    <row r="58">
      <c r="A58" s="2" t="n">
        <v>19</v>
      </c>
      <c r="B58" s="2" t="inlineStr">
        <is>
          <t>2026-06-26</t>
        </is>
      </c>
      <c r="C58" s="2" t="inlineStr">
        <is>
          <t>C</t>
        </is>
      </c>
      <c r="D58" s="2" t="inlineStr">
        <is>
          <t>To create</t>
        </is>
      </c>
      <c r="E58" s="2" t="inlineStr">
        <is>
          <t>Chainsaw Man Reze Arc</t>
        </is>
      </c>
      <c r="F58" s="2" t="inlineStr">
        <is>
          <t>Character decision explained</t>
        </is>
      </c>
      <c r="G58" s="2" t="inlineStr">
        <is>
          <t>City Mouse vs Country Mouse | Reze Arc Explained</t>
        </is>
      </c>
      <c r="H58" s="2" t="inlineStr"/>
      <c r="I58" s="2" t="inlineStr">
        <is>
          <t>No</t>
        </is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>
        <f>IF(L58&gt;0,N58/L58*1000,"")</f>
        <v/>
      </c>
      <c r="S58" s="2">
        <f>IF(L58&gt;0,M58/L58*10000,"")</f>
        <v/>
      </c>
      <c r="T58" s="2">
        <f>IF(AND(L58&gt;=1000,P58&gt;=70),"Double down",IF(AND(L58&lt;100,P58&lt;&gt;""),"Retire hook","Wait"))</f>
        <v/>
      </c>
      <c r="U58" s="2" t="inlineStr"/>
    </row>
    <row r="59">
      <c r="A59" s="2" t="n">
        <v>20</v>
      </c>
      <c r="B59" s="2" t="inlineStr">
        <is>
          <t>2026-06-27</t>
        </is>
      </c>
      <c r="C59" s="2" t="inlineStr">
        <is>
          <t>A</t>
        </is>
      </c>
      <c r="D59" s="2" t="inlineStr">
        <is>
          <t>To create</t>
        </is>
      </c>
      <c r="E59" s="2" t="inlineStr">
        <is>
          <t>One Piece</t>
        </is>
      </c>
      <c r="F59" s="2" t="inlineStr">
        <is>
          <t>Hidden detail you missed</t>
        </is>
      </c>
      <c r="G59" s="2" t="inlineStr">
        <is>
          <t>Whitebeard's Final Prophecy Explained | One Piece</t>
        </is>
      </c>
      <c r="H59" s="2" t="inlineStr"/>
      <c r="I59" s="2" t="inlineStr">
        <is>
          <t>No</t>
        </is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>
        <f>IF(L59&gt;0,N59/L59*1000,"")</f>
        <v/>
      </c>
      <c r="S59" s="2">
        <f>IF(L59&gt;0,M59/L59*10000,"")</f>
        <v/>
      </c>
      <c r="T59" s="2">
        <f>IF(AND(L59&gt;=1000,P59&gt;=70),"Double down",IF(AND(L59&lt;100,P59&lt;&gt;""),"Retire hook","Wait"))</f>
        <v/>
      </c>
      <c r="U59" s="2" t="inlineStr"/>
    </row>
    <row r="60">
      <c r="A60" s="2" t="n">
        <v>20</v>
      </c>
      <c r="B60" s="2" t="inlineStr">
        <is>
          <t>2026-06-27</t>
        </is>
      </c>
      <c r="C60" s="2" t="inlineStr">
        <is>
          <t>B</t>
        </is>
      </c>
      <c r="D60" s="2" t="inlineStr">
        <is>
          <t>To create</t>
        </is>
      </c>
      <c r="E60" s="2" t="inlineStr">
        <is>
          <t>One Piece</t>
        </is>
      </c>
      <c r="F60" s="2" t="inlineStr">
        <is>
          <t>Character decision explained</t>
        </is>
      </c>
      <c r="G60" s="2" t="inlineStr">
        <is>
          <t>Why Everyone Reacting Makes Luffy Stronger | One Piece</t>
        </is>
      </c>
      <c r="H60" s="2" t="inlineStr"/>
      <c r="I60" s="2" t="inlineStr">
        <is>
          <t>No</t>
        </is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>
        <f>IF(L60&gt;0,N60/L60*1000,"")</f>
        <v/>
      </c>
      <c r="S60" s="2">
        <f>IF(L60&gt;0,M60/L60*10000,"")</f>
        <v/>
      </c>
      <c r="T60" s="2">
        <f>IF(AND(L60&gt;=1000,P60&gt;=70),"Double down",IF(AND(L60&lt;100,P60&lt;&gt;""),"Retire hook","Wait"))</f>
        <v/>
      </c>
      <c r="U60" s="2" t="inlineStr"/>
    </row>
    <row r="61">
      <c r="A61" s="2" t="n">
        <v>20</v>
      </c>
      <c r="B61" s="2" t="inlineStr">
        <is>
          <t>2026-06-27</t>
        </is>
      </c>
      <c r="C61" s="2" t="inlineStr">
        <is>
          <t>C</t>
        </is>
      </c>
      <c r="D61" s="2" t="inlineStr">
        <is>
          <t>To create</t>
        </is>
      </c>
      <c r="E61" s="2" t="inlineStr">
        <is>
          <t>Demon Slayer Infinity Castle</t>
        </is>
      </c>
      <c r="F61" s="2" t="inlineStr">
        <is>
          <t>Why this scene works</t>
        </is>
      </c>
      <c r="G61" s="2" t="inlineStr">
        <is>
          <t>Infinity Castle's Real Trick | Demon Slayer Explained</t>
        </is>
      </c>
      <c r="H61" s="2" t="inlineStr"/>
      <c r="I61" s="2" t="inlineStr">
        <is>
          <t>No</t>
        </is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>
        <f>IF(L61&gt;0,N61/L61*1000,"")</f>
        <v/>
      </c>
      <c r="S61" s="2">
        <f>IF(L61&gt;0,M61/L61*10000,"")</f>
        <v/>
      </c>
      <c r="T61" s="2">
        <f>IF(AND(L61&gt;=1000,P61&gt;=70),"Double down",IF(AND(L61&lt;100,P61&lt;&gt;""),"Retire hook","Wait"))</f>
        <v/>
      </c>
      <c r="U61" s="2" t="inlineStr"/>
    </row>
    <row r="62">
      <c r="A62" s="2" t="n">
        <v>21</v>
      </c>
      <c r="B62" s="2" t="inlineStr">
        <is>
          <t>2026-06-28</t>
        </is>
      </c>
      <c r="C62" s="2" t="inlineStr">
        <is>
          <t>A</t>
        </is>
      </c>
      <c r="D62" s="2" t="inlineStr">
        <is>
          <t>To create</t>
        </is>
      </c>
      <c r="E62" s="2" t="inlineStr">
        <is>
          <t>Stranger Things</t>
        </is>
      </c>
      <c r="F62" s="2" t="inlineStr">
        <is>
          <t>Character decision explained</t>
        </is>
      </c>
      <c r="G62" s="2" t="inlineStr">
        <is>
          <t>Why Music Works Against Vecna | Stranger Things Explained</t>
        </is>
      </c>
      <c r="H62" s="2" t="inlineStr"/>
      <c r="I62" s="2" t="inlineStr">
        <is>
          <t>No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>
        <f>IF(L62&gt;0,N62/L62*1000,"")</f>
        <v/>
      </c>
      <c r="S62" s="2">
        <f>IF(L62&gt;0,M62/L62*10000,"")</f>
        <v/>
      </c>
      <c r="T62" s="2">
        <f>IF(AND(L62&gt;=1000,P62&gt;=70),"Double down",IF(AND(L62&lt;100,P62&lt;&gt;""),"Retire hook","Wait"))</f>
        <v/>
      </c>
      <c r="U62" s="2" t="inlineStr"/>
    </row>
    <row r="63">
      <c r="A63" s="2" t="n">
        <v>21</v>
      </c>
      <c r="B63" s="2" t="inlineStr">
        <is>
          <t>2026-06-28</t>
        </is>
      </c>
      <c r="C63" s="2" t="inlineStr">
        <is>
          <t>B</t>
        </is>
      </c>
      <c r="D63" s="2" t="inlineStr">
        <is>
          <t>To create</t>
        </is>
      </c>
      <c r="E63" s="2" t="inlineStr">
        <is>
          <t>Stranger Things</t>
        </is>
      </c>
      <c r="F63" s="2" t="inlineStr">
        <is>
          <t>Why this scene works</t>
        </is>
      </c>
      <c r="G63" s="2" t="inlineStr">
        <is>
          <t>Why Will's Quiet Scenes Matter | Stranger Things</t>
        </is>
      </c>
      <c r="H63" s="2" t="inlineStr"/>
      <c r="I63" s="2" t="inlineStr">
        <is>
          <t>No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>
        <f>IF(L63&gt;0,N63/L63*1000,"")</f>
        <v/>
      </c>
      <c r="S63" s="2">
        <f>IF(L63&gt;0,M63/L63*10000,"")</f>
        <v/>
      </c>
      <c r="T63" s="2">
        <f>IF(AND(L63&gt;=1000,P63&gt;=70),"Double down",IF(AND(L63&lt;100,P63&lt;&gt;""),"Retire hook","Wait"))</f>
        <v/>
      </c>
      <c r="U63" s="2" t="inlineStr"/>
    </row>
    <row r="64">
      <c r="A64" s="2" t="n">
        <v>21</v>
      </c>
      <c r="B64" s="2" t="inlineStr">
        <is>
          <t>2026-06-28</t>
        </is>
      </c>
      <c r="C64" s="2" t="inlineStr">
        <is>
          <t>C</t>
        </is>
      </c>
      <c r="D64" s="2" t="inlineStr">
        <is>
          <t>To create</t>
        </is>
      </c>
      <c r="E64" s="2" t="inlineStr">
        <is>
          <t>The Dark Knight</t>
        </is>
      </c>
      <c r="F64" s="2" t="inlineStr">
        <is>
          <t>Hidden detail you missed</t>
        </is>
      </c>
      <c r="G64" s="2" t="inlineStr">
        <is>
          <t>The Joker Hospital Pause Explained | The Dark Knight</t>
        </is>
      </c>
      <c r="H64" s="2" t="inlineStr"/>
      <c r="I64" s="2" t="inlineStr">
        <is>
          <t>No</t>
        </is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>
        <f>IF(L64&gt;0,N64/L64*1000,"")</f>
        <v/>
      </c>
      <c r="S64" s="2">
        <f>IF(L64&gt;0,M64/L64*10000,"")</f>
        <v/>
      </c>
      <c r="T64" s="2">
        <f>IF(AND(L64&gt;=1000,P64&gt;=70),"Double down",IF(AND(L64&lt;100,P64&lt;&gt;""),"Retire hook","Wait"))</f>
        <v/>
      </c>
      <c r="U64" s="2" t="inlineStr"/>
    </row>
    <row r="65">
      <c r="A65" s="2" t="n">
        <v>22</v>
      </c>
      <c r="B65" s="2" t="inlineStr">
        <is>
          <t>2026-06-29</t>
        </is>
      </c>
      <c r="C65" s="2" t="inlineStr">
        <is>
          <t>A</t>
        </is>
      </c>
      <c r="D65" s="2" t="inlineStr">
        <is>
          <t>To create</t>
        </is>
      </c>
      <c r="E65" s="2" t="inlineStr">
        <is>
          <t>Batman / DC</t>
        </is>
      </c>
      <c r="F65" s="2" t="inlineStr">
        <is>
          <t>Why this scene works</t>
        </is>
      </c>
      <c r="G65" s="2" t="inlineStr">
        <is>
          <t>Why Villains Steal Batman Scenes | Movie Explained</t>
        </is>
      </c>
      <c r="H65" s="2" t="inlineStr"/>
      <c r="I65" s="2" t="inlineStr">
        <is>
          <t>No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>
        <f>IF(L65&gt;0,N65/L65*1000,"")</f>
        <v/>
      </c>
      <c r="S65" s="2">
        <f>IF(L65&gt;0,M65/L65*10000,"")</f>
        <v/>
      </c>
      <c r="T65" s="2">
        <f>IF(AND(L65&gt;=1000,P65&gt;=70),"Double down",IF(AND(L65&lt;100,P65&lt;&gt;""),"Retire hook","Wait"))</f>
        <v/>
      </c>
      <c r="U65" s="2" t="inlineStr"/>
    </row>
    <row r="66">
      <c r="A66" s="2" t="n">
        <v>22</v>
      </c>
      <c r="B66" s="2" t="inlineStr">
        <is>
          <t>2026-06-29</t>
        </is>
      </c>
      <c r="C66" s="2" t="inlineStr">
        <is>
          <t>B</t>
        </is>
      </c>
      <c r="D66" s="2" t="inlineStr">
        <is>
          <t>To create</t>
        </is>
      </c>
      <c r="E66" s="2" t="inlineStr">
        <is>
          <t>Gachiakuta</t>
        </is>
      </c>
      <c r="F66" s="2" t="inlineStr">
        <is>
          <t>Hidden detail you missed</t>
        </is>
      </c>
      <c r="G66" s="2" t="inlineStr">
        <is>
          <t>Watchman Reveal Explained | Gachiakuta</t>
        </is>
      </c>
      <c r="H66" s="2" t="inlineStr"/>
      <c r="I66" s="2" t="inlineStr">
        <is>
          <t>No</t>
        </is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>
        <f>IF(L66&gt;0,N66/L66*1000,"")</f>
        <v/>
      </c>
      <c r="S66" s="2">
        <f>IF(L66&gt;0,M66/L66*10000,"")</f>
        <v/>
      </c>
      <c r="T66" s="2">
        <f>IF(AND(L66&gt;=1000,P66&gt;=70),"Double down",IF(AND(L66&lt;100,P66&lt;&gt;""),"Retire hook","Wait"))</f>
        <v/>
      </c>
      <c r="U66" s="2" t="inlineStr"/>
    </row>
    <row r="67">
      <c r="A67" s="2" t="n">
        <v>22</v>
      </c>
      <c r="B67" s="2" t="inlineStr">
        <is>
          <t>2026-06-29</t>
        </is>
      </c>
      <c r="C67" s="2" t="inlineStr">
        <is>
          <t>C</t>
        </is>
      </c>
      <c r="D67" s="2" t="inlineStr">
        <is>
          <t>To create</t>
        </is>
      </c>
      <c r="E67" s="2" t="inlineStr">
        <is>
          <t>June/July 2026 Movies</t>
        </is>
      </c>
      <c r="F67" s="2" t="inlineStr">
        <is>
          <t>Character decision explained</t>
        </is>
      </c>
      <c r="G67" s="2" t="inlineStr">
        <is>
          <t>The Trailer Shot That Sells the Movie | Movie Explained</t>
        </is>
      </c>
      <c r="H67" s="2" t="inlineStr"/>
      <c r="I67" s="2" t="inlineStr">
        <is>
          <t>No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>
        <f>IF(L67&gt;0,N67/L67*1000,"")</f>
        <v/>
      </c>
      <c r="S67" s="2">
        <f>IF(L67&gt;0,M67/L67*10000,"")</f>
        <v/>
      </c>
      <c r="T67" s="2">
        <f>IF(AND(L67&gt;=1000,P67&gt;=70),"Double down",IF(AND(L67&lt;100,P67&lt;&gt;""),"Retire hook","Wait"))</f>
        <v/>
      </c>
      <c r="U67" s="2" t="inlineStr"/>
    </row>
    <row r="68">
      <c r="A68" s="2" t="n">
        <v>23</v>
      </c>
      <c r="B68" s="2" t="inlineStr">
        <is>
          <t>2026-06-30</t>
        </is>
      </c>
      <c r="C68" s="2" t="inlineStr">
        <is>
          <t>A</t>
        </is>
      </c>
      <c r="D68" s="2" t="inlineStr">
        <is>
          <t>To create</t>
        </is>
      </c>
      <c r="E68" s="2" t="inlineStr">
        <is>
          <t>Chainsaw Man Reze Arc</t>
        </is>
      </c>
      <c r="F68" s="2" t="inlineStr">
        <is>
          <t>Hidden detail you missed</t>
        </is>
      </c>
      <c r="G68" s="2" t="inlineStr">
        <is>
          <t>Reze's Smile Was the Warning | Chainsaw Man Explained</t>
        </is>
      </c>
      <c r="H68" s="2" t="inlineStr"/>
      <c r="I68" s="2" t="inlineStr">
        <is>
          <t>No</t>
        </is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>
        <f>IF(L68&gt;0,N68/L68*1000,"")</f>
        <v/>
      </c>
      <c r="S68" s="2">
        <f>IF(L68&gt;0,M68/L68*10000,"")</f>
        <v/>
      </c>
      <c r="T68" s="2">
        <f>IF(AND(L68&gt;=1000,P68&gt;=70),"Double down",IF(AND(L68&lt;100,P68&lt;&gt;""),"Retire hook","Wait"))</f>
        <v/>
      </c>
      <c r="U68" s="2" t="inlineStr"/>
    </row>
    <row r="69">
      <c r="A69" s="2" t="n">
        <v>23</v>
      </c>
      <c r="B69" s="2" t="inlineStr">
        <is>
          <t>2026-06-30</t>
        </is>
      </c>
      <c r="C69" s="2" t="inlineStr">
        <is>
          <t>B</t>
        </is>
      </c>
      <c r="D69" s="2" t="inlineStr">
        <is>
          <t>To create</t>
        </is>
      </c>
      <c r="E69" s="2" t="inlineStr">
        <is>
          <t>Chainsaw Man Reze Arc</t>
        </is>
      </c>
      <c r="F69" s="2" t="inlineStr">
        <is>
          <t>Character decision explained</t>
        </is>
      </c>
      <c r="G69" s="2" t="inlineStr">
        <is>
          <t>Denji's Heart Line Hits Different | Chainsaw Man Explained</t>
        </is>
      </c>
      <c r="H69" s="2" t="inlineStr"/>
      <c r="I69" s="2" t="inlineStr">
        <is>
          <t>No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>
        <f>IF(L69&gt;0,N69/L69*1000,"")</f>
        <v/>
      </c>
      <c r="S69" s="2">
        <f>IF(L69&gt;0,M69/L69*10000,"")</f>
        <v/>
      </c>
      <c r="T69" s="2">
        <f>IF(AND(L69&gt;=1000,P69&gt;=70),"Double down",IF(AND(L69&lt;100,P69&lt;&gt;""),"Retire hook","Wait"))</f>
        <v/>
      </c>
      <c r="U69" s="2" t="inlineStr"/>
    </row>
    <row r="70">
      <c r="A70" s="2" t="n">
        <v>23</v>
      </c>
      <c r="B70" s="2" t="inlineStr">
        <is>
          <t>2026-06-30</t>
        </is>
      </c>
      <c r="C70" s="2" t="inlineStr">
        <is>
          <t>C</t>
        </is>
      </c>
      <c r="D70" s="2" t="inlineStr">
        <is>
          <t>To create</t>
        </is>
      </c>
      <c r="E70" s="2" t="inlineStr">
        <is>
          <t>Chainsaw Man Reze Arc</t>
        </is>
      </c>
      <c r="F70" s="2" t="inlineStr">
        <is>
          <t>Why this scene works</t>
        </is>
      </c>
      <c r="G70" s="2" t="inlineStr">
        <is>
          <t>City Mouse vs Country Mouse | Reze Arc Explained</t>
        </is>
      </c>
      <c r="H70" s="2" t="inlineStr"/>
      <c r="I70" s="2" t="inlineStr">
        <is>
          <t>No</t>
        </is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>
        <f>IF(L70&gt;0,N70/L70*1000,"")</f>
        <v/>
      </c>
      <c r="S70" s="2">
        <f>IF(L70&gt;0,M70/L70*10000,"")</f>
        <v/>
      </c>
      <c r="T70" s="2">
        <f>IF(AND(L70&gt;=1000,P70&gt;=70),"Double down",IF(AND(L70&lt;100,P70&lt;&gt;""),"Retire hook","Wait"))</f>
        <v/>
      </c>
      <c r="U70" s="2" t="inlineStr"/>
    </row>
    <row r="71">
      <c r="A71" s="2" t="n">
        <v>24</v>
      </c>
      <c r="B71" s="2" t="inlineStr">
        <is>
          <t>2026-07-01</t>
        </is>
      </c>
      <c r="C71" s="2" t="inlineStr">
        <is>
          <t>A</t>
        </is>
      </c>
      <c r="D71" s="2" t="inlineStr">
        <is>
          <t>To create</t>
        </is>
      </c>
      <c r="E71" s="2" t="inlineStr">
        <is>
          <t>One Piece</t>
        </is>
      </c>
      <c r="F71" s="2" t="inlineStr">
        <is>
          <t>Character decision explained</t>
        </is>
      </c>
      <c r="G71" s="2" t="inlineStr">
        <is>
          <t>Whitebeard's Final Prophecy Explained | One Piece</t>
        </is>
      </c>
      <c r="H71" s="2" t="inlineStr"/>
      <c r="I71" s="2" t="inlineStr">
        <is>
          <t>No</t>
        </is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>
        <f>IF(L71&gt;0,N71/L71*1000,"")</f>
        <v/>
      </c>
      <c r="S71" s="2">
        <f>IF(L71&gt;0,M71/L71*10000,"")</f>
        <v/>
      </c>
      <c r="T71" s="2">
        <f>IF(AND(L71&gt;=1000,P71&gt;=70),"Double down",IF(AND(L71&lt;100,P71&lt;&gt;""),"Retire hook","Wait"))</f>
        <v/>
      </c>
      <c r="U71" s="2" t="inlineStr"/>
    </row>
    <row r="72">
      <c r="A72" s="2" t="n">
        <v>24</v>
      </c>
      <c r="B72" s="2" t="inlineStr">
        <is>
          <t>2026-07-01</t>
        </is>
      </c>
      <c r="C72" s="2" t="inlineStr">
        <is>
          <t>B</t>
        </is>
      </c>
      <c r="D72" s="2" t="inlineStr">
        <is>
          <t>To create</t>
        </is>
      </c>
      <c r="E72" s="2" t="inlineStr">
        <is>
          <t>One Piece</t>
        </is>
      </c>
      <c r="F72" s="2" t="inlineStr">
        <is>
          <t>Why this scene works</t>
        </is>
      </c>
      <c r="G72" s="2" t="inlineStr">
        <is>
          <t>Why Everyone Reacting Makes Luffy Stronger | One Piece</t>
        </is>
      </c>
      <c r="H72" s="2" t="inlineStr"/>
      <c r="I72" s="2" t="inlineStr">
        <is>
          <t>No</t>
        </is>
      </c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>
        <f>IF(L72&gt;0,N72/L72*1000,"")</f>
        <v/>
      </c>
      <c r="S72" s="2">
        <f>IF(L72&gt;0,M72/L72*10000,"")</f>
        <v/>
      </c>
      <c r="T72" s="2">
        <f>IF(AND(L72&gt;=1000,P72&gt;=70),"Double down",IF(AND(L72&lt;100,P72&lt;&gt;""),"Retire hook","Wait"))</f>
        <v/>
      </c>
      <c r="U72" s="2" t="inlineStr"/>
    </row>
    <row r="73">
      <c r="A73" s="2" t="n">
        <v>24</v>
      </c>
      <c r="B73" s="2" t="inlineStr">
        <is>
          <t>2026-07-01</t>
        </is>
      </c>
      <c r="C73" s="2" t="inlineStr">
        <is>
          <t>C</t>
        </is>
      </c>
      <c r="D73" s="2" t="inlineStr">
        <is>
          <t>To create</t>
        </is>
      </c>
      <c r="E73" s="2" t="inlineStr">
        <is>
          <t>Demon Slayer Infinity Castle</t>
        </is>
      </c>
      <c r="F73" s="2" t="inlineStr">
        <is>
          <t>Hidden detail you missed</t>
        </is>
      </c>
      <c r="G73" s="2" t="inlineStr">
        <is>
          <t>Infinity Castle's Real Trick | Demon Slayer Explained</t>
        </is>
      </c>
      <c r="H73" s="2" t="inlineStr"/>
      <c r="I73" s="2" t="inlineStr">
        <is>
          <t>No</t>
        </is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>
        <f>IF(L73&gt;0,N73/L73*1000,"")</f>
        <v/>
      </c>
      <c r="S73" s="2">
        <f>IF(L73&gt;0,M73/L73*10000,"")</f>
        <v/>
      </c>
      <c r="T73" s="2">
        <f>IF(AND(L73&gt;=1000,P73&gt;=70),"Double down",IF(AND(L73&lt;100,P73&lt;&gt;""),"Retire hook","Wait"))</f>
        <v/>
      </c>
      <c r="U73" s="2" t="inlineStr"/>
    </row>
    <row r="74">
      <c r="A74" s="2" t="n">
        <v>25</v>
      </c>
      <c r="B74" s="2" t="inlineStr">
        <is>
          <t>2026-07-02</t>
        </is>
      </c>
      <c r="C74" s="2" t="inlineStr">
        <is>
          <t>A</t>
        </is>
      </c>
      <c r="D74" s="2" t="inlineStr">
        <is>
          <t>To create</t>
        </is>
      </c>
      <c r="E74" s="2" t="inlineStr">
        <is>
          <t>Stranger Things</t>
        </is>
      </c>
      <c r="F74" s="2" t="inlineStr">
        <is>
          <t>Why this scene works</t>
        </is>
      </c>
      <c r="G74" s="2" t="inlineStr">
        <is>
          <t>Why Music Works Against Vecna | Stranger Things Explained</t>
        </is>
      </c>
      <c r="H74" s="2" t="inlineStr"/>
      <c r="I74" s="2" t="inlineStr">
        <is>
          <t>No</t>
        </is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>
        <f>IF(L74&gt;0,N74/L74*1000,"")</f>
        <v/>
      </c>
      <c r="S74" s="2">
        <f>IF(L74&gt;0,M74/L74*10000,"")</f>
        <v/>
      </c>
      <c r="T74" s="2">
        <f>IF(AND(L74&gt;=1000,P74&gt;=70),"Double down",IF(AND(L74&lt;100,P74&lt;&gt;""),"Retire hook","Wait"))</f>
        <v/>
      </c>
      <c r="U74" s="2" t="inlineStr"/>
    </row>
    <row r="75">
      <c r="A75" s="2" t="n">
        <v>25</v>
      </c>
      <c r="B75" s="2" t="inlineStr">
        <is>
          <t>2026-07-02</t>
        </is>
      </c>
      <c r="C75" s="2" t="inlineStr">
        <is>
          <t>B</t>
        </is>
      </c>
      <c r="D75" s="2" t="inlineStr">
        <is>
          <t>To create</t>
        </is>
      </c>
      <c r="E75" s="2" t="inlineStr">
        <is>
          <t>Stranger Things</t>
        </is>
      </c>
      <c r="F75" s="2" t="inlineStr">
        <is>
          <t>Hidden detail you missed</t>
        </is>
      </c>
      <c r="G75" s="2" t="inlineStr">
        <is>
          <t>Why Will's Quiet Scenes Matter | Stranger Things</t>
        </is>
      </c>
      <c r="H75" s="2" t="inlineStr"/>
      <c r="I75" s="2" t="inlineStr">
        <is>
          <t>No</t>
        </is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>
        <f>IF(L75&gt;0,N75/L75*1000,"")</f>
        <v/>
      </c>
      <c r="S75" s="2">
        <f>IF(L75&gt;0,M75/L75*10000,"")</f>
        <v/>
      </c>
      <c r="T75" s="2">
        <f>IF(AND(L75&gt;=1000,P75&gt;=70),"Double down",IF(AND(L75&lt;100,P75&lt;&gt;""),"Retire hook","Wait"))</f>
        <v/>
      </c>
      <c r="U75" s="2" t="inlineStr"/>
    </row>
    <row r="76">
      <c r="A76" s="2" t="n">
        <v>25</v>
      </c>
      <c r="B76" s="2" t="inlineStr">
        <is>
          <t>2026-07-02</t>
        </is>
      </c>
      <c r="C76" s="2" t="inlineStr">
        <is>
          <t>C</t>
        </is>
      </c>
      <c r="D76" s="2" t="inlineStr">
        <is>
          <t>To create</t>
        </is>
      </c>
      <c r="E76" s="2" t="inlineStr">
        <is>
          <t>The Dark Knight</t>
        </is>
      </c>
      <c r="F76" s="2" t="inlineStr">
        <is>
          <t>Character decision explained</t>
        </is>
      </c>
      <c r="G76" s="2" t="inlineStr">
        <is>
          <t>The Joker Hospital Pause Explained | The Dark Knight</t>
        </is>
      </c>
      <c r="H76" s="2" t="inlineStr"/>
      <c r="I76" s="2" t="inlineStr">
        <is>
          <t>No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>
        <f>IF(L76&gt;0,N76/L76*1000,"")</f>
        <v/>
      </c>
      <c r="S76" s="2">
        <f>IF(L76&gt;0,M76/L76*10000,"")</f>
        <v/>
      </c>
      <c r="T76" s="2">
        <f>IF(AND(L76&gt;=1000,P76&gt;=70),"Double down",IF(AND(L76&lt;100,P76&lt;&gt;""),"Retire hook","Wait"))</f>
        <v/>
      </c>
      <c r="U76" s="2" t="inlineStr"/>
    </row>
    <row r="77">
      <c r="A77" s="2" t="n">
        <v>26</v>
      </c>
      <c r="B77" s="2" t="inlineStr">
        <is>
          <t>2026-07-03</t>
        </is>
      </c>
      <c r="C77" s="2" t="inlineStr">
        <is>
          <t>A</t>
        </is>
      </c>
      <c r="D77" s="2" t="inlineStr">
        <is>
          <t>To create</t>
        </is>
      </c>
      <c r="E77" s="2" t="inlineStr">
        <is>
          <t>Batman / DC</t>
        </is>
      </c>
      <c r="F77" s="2" t="inlineStr">
        <is>
          <t>Hidden detail you missed</t>
        </is>
      </c>
      <c r="G77" s="2" t="inlineStr">
        <is>
          <t>Why Villains Steal Batman Scenes | Movie Explained</t>
        </is>
      </c>
      <c r="H77" s="2" t="inlineStr"/>
      <c r="I77" s="2" t="inlineStr">
        <is>
          <t>No</t>
        </is>
      </c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>
        <f>IF(L77&gt;0,N77/L77*1000,"")</f>
        <v/>
      </c>
      <c r="S77" s="2">
        <f>IF(L77&gt;0,M77/L77*10000,"")</f>
        <v/>
      </c>
      <c r="T77" s="2">
        <f>IF(AND(L77&gt;=1000,P77&gt;=70),"Double down",IF(AND(L77&lt;100,P77&lt;&gt;""),"Retire hook","Wait"))</f>
        <v/>
      </c>
      <c r="U77" s="2" t="inlineStr"/>
    </row>
    <row r="78">
      <c r="A78" s="2" t="n">
        <v>26</v>
      </c>
      <c r="B78" s="2" t="inlineStr">
        <is>
          <t>2026-07-03</t>
        </is>
      </c>
      <c r="C78" s="2" t="inlineStr">
        <is>
          <t>B</t>
        </is>
      </c>
      <c r="D78" s="2" t="inlineStr">
        <is>
          <t>To create</t>
        </is>
      </c>
      <c r="E78" s="2" t="inlineStr">
        <is>
          <t>Gachiakuta</t>
        </is>
      </c>
      <c r="F78" s="2" t="inlineStr">
        <is>
          <t>Character decision explained</t>
        </is>
      </c>
      <c r="G78" s="2" t="inlineStr">
        <is>
          <t>Watchman Reveal Explained | Gachiakuta</t>
        </is>
      </c>
      <c r="H78" s="2" t="inlineStr"/>
      <c r="I78" s="2" t="inlineStr">
        <is>
          <t>No</t>
        </is>
      </c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>
        <f>IF(L78&gt;0,N78/L78*1000,"")</f>
        <v/>
      </c>
      <c r="S78" s="2">
        <f>IF(L78&gt;0,M78/L78*10000,"")</f>
        <v/>
      </c>
      <c r="T78" s="2">
        <f>IF(AND(L78&gt;=1000,P78&gt;=70),"Double down",IF(AND(L78&lt;100,P78&lt;&gt;""),"Retire hook","Wait"))</f>
        <v/>
      </c>
      <c r="U78" s="2" t="inlineStr"/>
    </row>
    <row r="79">
      <c r="A79" s="2" t="n">
        <v>26</v>
      </c>
      <c r="B79" s="2" t="inlineStr">
        <is>
          <t>2026-07-03</t>
        </is>
      </c>
      <c r="C79" s="2" t="inlineStr">
        <is>
          <t>C</t>
        </is>
      </c>
      <c r="D79" s="2" t="inlineStr">
        <is>
          <t>To create</t>
        </is>
      </c>
      <c r="E79" s="2" t="inlineStr">
        <is>
          <t>June/July 2026 Movies</t>
        </is>
      </c>
      <c r="F79" s="2" t="inlineStr">
        <is>
          <t>Why this scene works</t>
        </is>
      </c>
      <c r="G79" s="2" t="inlineStr">
        <is>
          <t>The Trailer Shot That Sells the Movie | Movie Explained</t>
        </is>
      </c>
      <c r="H79" s="2" t="inlineStr"/>
      <c r="I79" s="2" t="inlineStr">
        <is>
          <t>No</t>
        </is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>
        <f>IF(L79&gt;0,N79/L79*1000,"")</f>
        <v/>
      </c>
      <c r="S79" s="2">
        <f>IF(L79&gt;0,M79/L79*10000,"")</f>
        <v/>
      </c>
      <c r="T79" s="2">
        <f>IF(AND(L79&gt;=1000,P79&gt;=70),"Double down",IF(AND(L79&lt;100,P79&lt;&gt;""),"Retire hook","Wait"))</f>
        <v/>
      </c>
      <c r="U79" s="2" t="inlineStr"/>
    </row>
    <row r="80">
      <c r="A80" s="2" t="n">
        <v>27</v>
      </c>
      <c r="B80" s="2" t="inlineStr">
        <is>
          <t>2026-07-04</t>
        </is>
      </c>
      <c r="C80" s="2" t="inlineStr">
        <is>
          <t>A</t>
        </is>
      </c>
      <c r="D80" s="2" t="inlineStr">
        <is>
          <t>To create</t>
        </is>
      </c>
      <c r="E80" s="2" t="inlineStr">
        <is>
          <t>Chainsaw Man Reze Arc</t>
        </is>
      </c>
      <c r="F80" s="2" t="inlineStr">
        <is>
          <t>Character decision explained</t>
        </is>
      </c>
      <c r="G80" s="2" t="inlineStr">
        <is>
          <t>Reze's Smile Was the Warning | Chainsaw Man Explained</t>
        </is>
      </c>
      <c r="H80" s="2" t="inlineStr"/>
      <c r="I80" s="2" t="inlineStr">
        <is>
          <t>No</t>
        </is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>
        <f>IF(L80&gt;0,N80/L80*1000,"")</f>
        <v/>
      </c>
      <c r="S80" s="2">
        <f>IF(L80&gt;0,M80/L80*10000,"")</f>
        <v/>
      </c>
      <c r="T80" s="2">
        <f>IF(AND(L80&gt;=1000,P80&gt;=70),"Double down",IF(AND(L80&lt;100,P80&lt;&gt;""),"Retire hook","Wait"))</f>
        <v/>
      </c>
      <c r="U80" s="2" t="inlineStr"/>
    </row>
    <row r="81">
      <c r="A81" s="2" t="n">
        <v>27</v>
      </c>
      <c r="B81" s="2" t="inlineStr">
        <is>
          <t>2026-07-04</t>
        </is>
      </c>
      <c r="C81" s="2" t="inlineStr">
        <is>
          <t>B</t>
        </is>
      </c>
      <c r="D81" s="2" t="inlineStr">
        <is>
          <t>To create</t>
        </is>
      </c>
      <c r="E81" s="2" t="inlineStr">
        <is>
          <t>Chainsaw Man Reze Arc</t>
        </is>
      </c>
      <c r="F81" s="2" t="inlineStr">
        <is>
          <t>Why this scene works</t>
        </is>
      </c>
      <c r="G81" s="2" t="inlineStr">
        <is>
          <t>Denji's Heart Line Hits Different | Chainsaw Man Explained</t>
        </is>
      </c>
      <c r="H81" s="2" t="inlineStr"/>
      <c r="I81" s="2" t="inlineStr">
        <is>
          <t>No</t>
        </is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>
        <f>IF(L81&gt;0,N81/L81*1000,"")</f>
        <v/>
      </c>
      <c r="S81" s="2">
        <f>IF(L81&gt;0,M81/L81*10000,"")</f>
        <v/>
      </c>
      <c r="T81" s="2">
        <f>IF(AND(L81&gt;=1000,P81&gt;=70),"Double down",IF(AND(L81&lt;100,P81&lt;&gt;""),"Retire hook","Wait"))</f>
        <v/>
      </c>
      <c r="U81" s="2" t="inlineStr"/>
    </row>
    <row r="82">
      <c r="A82" s="2" t="n">
        <v>27</v>
      </c>
      <c r="B82" s="2" t="inlineStr">
        <is>
          <t>2026-07-04</t>
        </is>
      </c>
      <c r="C82" s="2" t="inlineStr">
        <is>
          <t>C</t>
        </is>
      </c>
      <c r="D82" s="2" t="inlineStr">
        <is>
          <t>To create</t>
        </is>
      </c>
      <c r="E82" s="2" t="inlineStr">
        <is>
          <t>Chainsaw Man Reze Arc</t>
        </is>
      </c>
      <c r="F82" s="2" t="inlineStr">
        <is>
          <t>Hidden detail you missed</t>
        </is>
      </c>
      <c r="G82" s="2" t="inlineStr">
        <is>
          <t>City Mouse vs Country Mouse | Reze Arc Explained</t>
        </is>
      </c>
      <c r="H82" s="2" t="inlineStr"/>
      <c r="I82" s="2" t="inlineStr">
        <is>
          <t>No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>
        <f>IF(L82&gt;0,N82/L82*1000,"")</f>
        <v/>
      </c>
      <c r="S82" s="2">
        <f>IF(L82&gt;0,M82/L82*10000,"")</f>
        <v/>
      </c>
      <c r="T82" s="2">
        <f>IF(AND(L82&gt;=1000,P82&gt;=70),"Double down",IF(AND(L82&lt;100,P82&lt;&gt;""),"Retire hook","Wait"))</f>
        <v/>
      </c>
      <c r="U82" s="2" t="inlineStr"/>
    </row>
    <row r="83">
      <c r="A83" s="2" t="n">
        <v>28</v>
      </c>
      <c r="B83" s="2" t="inlineStr">
        <is>
          <t>2026-07-05</t>
        </is>
      </c>
      <c r="C83" s="2" t="inlineStr">
        <is>
          <t>A</t>
        </is>
      </c>
      <c r="D83" s="2" t="inlineStr">
        <is>
          <t>To create</t>
        </is>
      </c>
      <c r="E83" s="2" t="inlineStr">
        <is>
          <t>One Piece</t>
        </is>
      </c>
      <c r="F83" s="2" t="inlineStr">
        <is>
          <t>Why this scene works</t>
        </is>
      </c>
      <c r="G83" s="2" t="inlineStr">
        <is>
          <t>Whitebeard's Final Prophecy Explained | One Piece</t>
        </is>
      </c>
      <c r="H83" s="2" t="inlineStr"/>
      <c r="I83" s="2" t="inlineStr">
        <is>
          <t>No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>
        <f>IF(L83&gt;0,N83/L83*1000,"")</f>
        <v/>
      </c>
      <c r="S83" s="2">
        <f>IF(L83&gt;0,M83/L83*10000,"")</f>
        <v/>
      </c>
      <c r="T83" s="2">
        <f>IF(AND(L83&gt;=1000,P83&gt;=70),"Double down",IF(AND(L83&lt;100,P83&lt;&gt;""),"Retire hook","Wait"))</f>
        <v/>
      </c>
      <c r="U83" s="2" t="inlineStr"/>
    </row>
    <row r="84">
      <c r="A84" s="2" t="n">
        <v>28</v>
      </c>
      <c r="B84" s="2" t="inlineStr">
        <is>
          <t>2026-07-05</t>
        </is>
      </c>
      <c r="C84" s="2" t="inlineStr">
        <is>
          <t>B</t>
        </is>
      </c>
      <c r="D84" s="2" t="inlineStr">
        <is>
          <t>To create</t>
        </is>
      </c>
      <c r="E84" s="2" t="inlineStr">
        <is>
          <t>One Piece</t>
        </is>
      </c>
      <c r="F84" s="2" t="inlineStr">
        <is>
          <t>Hidden detail you missed</t>
        </is>
      </c>
      <c r="G84" s="2" t="inlineStr">
        <is>
          <t>Why Everyone Reacting Makes Luffy Stronger | One Piece</t>
        </is>
      </c>
      <c r="H84" s="2" t="inlineStr"/>
      <c r="I84" s="2" t="inlineStr">
        <is>
          <t>No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>
        <f>IF(L84&gt;0,N84/L84*1000,"")</f>
        <v/>
      </c>
      <c r="S84" s="2">
        <f>IF(L84&gt;0,M84/L84*10000,"")</f>
        <v/>
      </c>
      <c r="T84" s="2">
        <f>IF(AND(L84&gt;=1000,P84&gt;=70),"Double down",IF(AND(L84&lt;100,P84&lt;&gt;""),"Retire hook","Wait"))</f>
        <v/>
      </c>
      <c r="U84" s="2" t="inlineStr"/>
    </row>
    <row r="85">
      <c r="A85" s="2" t="n">
        <v>28</v>
      </c>
      <c r="B85" s="2" t="inlineStr">
        <is>
          <t>2026-07-05</t>
        </is>
      </c>
      <c r="C85" s="2" t="inlineStr">
        <is>
          <t>C</t>
        </is>
      </c>
      <c r="D85" s="2" t="inlineStr">
        <is>
          <t>To create</t>
        </is>
      </c>
      <c r="E85" s="2" t="inlineStr">
        <is>
          <t>Demon Slayer Infinity Castle</t>
        </is>
      </c>
      <c r="F85" s="2" t="inlineStr">
        <is>
          <t>Character decision explained</t>
        </is>
      </c>
      <c r="G85" s="2" t="inlineStr">
        <is>
          <t>Infinity Castle's Real Trick | Demon Slayer Explained</t>
        </is>
      </c>
      <c r="H85" s="2" t="inlineStr"/>
      <c r="I85" s="2" t="inlineStr">
        <is>
          <t>No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>
        <f>IF(L85&gt;0,N85/L85*1000,"")</f>
        <v/>
      </c>
      <c r="S85" s="2">
        <f>IF(L85&gt;0,M85/L85*10000,"")</f>
        <v/>
      </c>
      <c r="T85" s="2">
        <f>IF(AND(L85&gt;=1000,P85&gt;=70),"Double down",IF(AND(L85&lt;100,P85&lt;&gt;""),"Retire hook","Wait"))</f>
        <v/>
      </c>
      <c r="U85" s="2" t="inlineStr"/>
    </row>
    <row r="86">
      <c r="A86" s="2" t="n">
        <v>29</v>
      </c>
      <c r="B86" s="2" t="inlineStr">
        <is>
          <t>2026-07-06</t>
        </is>
      </c>
      <c r="C86" s="2" t="inlineStr">
        <is>
          <t>A</t>
        </is>
      </c>
      <c r="D86" s="2" t="inlineStr">
        <is>
          <t>To create</t>
        </is>
      </c>
      <c r="E86" s="2" t="inlineStr">
        <is>
          <t>Stranger Things</t>
        </is>
      </c>
      <c r="F86" s="2" t="inlineStr">
        <is>
          <t>Hidden detail you missed</t>
        </is>
      </c>
      <c r="G86" s="2" t="inlineStr">
        <is>
          <t>Why Music Works Against Vecna | Stranger Things Explained</t>
        </is>
      </c>
      <c r="H86" s="2" t="inlineStr"/>
      <c r="I86" s="2" t="inlineStr">
        <is>
          <t>No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>
        <f>IF(L86&gt;0,N86/L86*1000,"")</f>
        <v/>
      </c>
      <c r="S86" s="2">
        <f>IF(L86&gt;0,M86/L86*10000,"")</f>
        <v/>
      </c>
      <c r="T86" s="2">
        <f>IF(AND(L86&gt;=1000,P86&gt;=70),"Double down",IF(AND(L86&lt;100,P86&lt;&gt;""),"Retire hook","Wait"))</f>
        <v/>
      </c>
      <c r="U86" s="2" t="inlineStr"/>
    </row>
    <row r="87">
      <c r="A87" s="2" t="n">
        <v>29</v>
      </c>
      <c r="B87" s="2" t="inlineStr">
        <is>
          <t>2026-07-06</t>
        </is>
      </c>
      <c r="C87" s="2" t="inlineStr">
        <is>
          <t>B</t>
        </is>
      </c>
      <c r="D87" s="2" t="inlineStr">
        <is>
          <t>To create</t>
        </is>
      </c>
      <c r="E87" s="2" t="inlineStr">
        <is>
          <t>Stranger Things</t>
        </is>
      </c>
      <c r="F87" s="2" t="inlineStr">
        <is>
          <t>Character decision explained</t>
        </is>
      </c>
      <c r="G87" s="2" t="inlineStr">
        <is>
          <t>Why Will's Quiet Scenes Matter | Stranger Things</t>
        </is>
      </c>
      <c r="H87" s="2" t="inlineStr"/>
      <c r="I87" s="2" t="inlineStr">
        <is>
          <t>No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>
        <f>IF(L87&gt;0,N87/L87*1000,"")</f>
        <v/>
      </c>
      <c r="S87" s="2">
        <f>IF(L87&gt;0,M87/L87*10000,"")</f>
        <v/>
      </c>
      <c r="T87" s="2">
        <f>IF(AND(L87&gt;=1000,P87&gt;=70),"Double down",IF(AND(L87&lt;100,P87&lt;&gt;""),"Retire hook","Wait"))</f>
        <v/>
      </c>
      <c r="U87" s="2" t="inlineStr"/>
    </row>
    <row r="88">
      <c r="A88" s="2" t="n">
        <v>29</v>
      </c>
      <c r="B88" s="2" t="inlineStr">
        <is>
          <t>2026-07-06</t>
        </is>
      </c>
      <c r="C88" s="2" t="inlineStr">
        <is>
          <t>C</t>
        </is>
      </c>
      <c r="D88" s="2" t="inlineStr">
        <is>
          <t>To create</t>
        </is>
      </c>
      <c r="E88" s="2" t="inlineStr">
        <is>
          <t>The Dark Knight</t>
        </is>
      </c>
      <c r="F88" s="2" t="inlineStr">
        <is>
          <t>Why this scene works</t>
        </is>
      </c>
      <c r="G88" s="2" t="inlineStr">
        <is>
          <t>The Joker Hospital Pause Explained | The Dark Knight</t>
        </is>
      </c>
      <c r="H88" s="2" t="inlineStr"/>
      <c r="I88" s="2" t="inlineStr">
        <is>
          <t>No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>
        <f>IF(L88&gt;0,N88/L88*1000,"")</f>
        <v/>
      </c>
      <c r="S88" s="2">
        <f>IF(L88&gt;0,M88/L88*10000,"")</f>
        <v/>
      </c>
      <c r="T88" s="2">
        <f>IF(AND(L88&gt;=1000,P88&gt;=70),"Double down",IF(AND(L88&lt;100,P88&lt;&gt;""),"Retire hook","Wait"))</f>
        <v/>
      </c>
      <c r="U88" s="2" t="inlineStr"/>
    </row>
    <row r="89">
      <c r="A89" s="2" t="n">
        <v>30</v>
      </c>
      <c r="B89" s="2" t="inlineStr">
        <is>
          <t>2026-07-07</t>
        </is>
      </c>
      <c r="C89" s="2" t="inlineStr">
        <is>
          <t>A</t>
        </is>
      </c>
      <c r="D89" s="2" t="inlineStr">
        <is>
          <t>To create</t>
        </is>
      </c>
      <c r="E89" s="2" t="inlineStr">
        <is>
          <t>Batman / DC</t>
        </is>
      </c>
      <c r="F89" s="2" t="inlineStr">
        <is>
          <t>Character decision explained</t>
        </is>
      </c>
      <c r="G89" s="2" t="inlineStr">
        <is>
          <t>Why Villains Steal Batman Scenes | Movie Explained</t>
        </is>
      </c>
      <c r="H89" s="2" t="inlineStr"/>
      <c r="I89" s="2" t="inlineStr">
        <is>
          <t>No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>
        <f>IF(L89&gt;0,N89/L89*1000,"")</f>
        <v/>
      </c>
      <c r="S89" s="2">
        <f>IF(L89&gt;0,M89/L89*10000,"")</f>
        <v/>
      </c>
      <c r="T89" s="2">
        <f>IF(AND(L89&gt;=1000,P89&gt;=70),"Double down",IF(AND(L89&lt;100,P89&lt;&gt;""),"Retire hook","Wait"))</f>
        <v/>
      </c>
      <c r="U89" s="2" t="inlineStr"/>
    </row>
    <row r="90">
      <c r="A90" s="2" t="n">
        <v>30</v>
      </c>
      <c r="B90" s="2" t="inlineStr">
        <is>
          <t>2026-07-07</t>
        </is>
      </c>
      <c r="C90" s="2" t="inlineStr">
        <is>
          <t>B</t>
        </is>
      </c>
      <c r="D90" s="2" t="inlineStr">
        <is>
          <t>To create</t>
        </is>
      </c>
      <c r="E90" s="2" t="inlineStr">
        <is>
          <t>Gachiakuta</t>
        </is>
      </c>
      <c r="F90" s="2" t="inlineStr">
        <is>
          <t>Why this scene works</t>
        </is>
      </c>
      <c r="G90" s="2" t="inlineStr">
        <is>
          <t>Watchman Reveal Explained | Gachiakuta</t>
        </is>
      </c>
      <c r="H90" s="2" t="inlineStr"/>
      <c r="I90" s="2" t="inlineStr">
        <is>
          <t>No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>
        <f>IF(L90&gt;0,N90/L90*1000,"")</f>
        <v/>
      </c>
      <c r="S90" s="2">
        <f>IF(L90&gt;0,M90/L90*10000,"")</f>
        <v/>
      </c>
      <c r="T90" s="2">
        <f>IF(AND(L90&gt;=1000,P90&gt;=70),"Double down",IF(AND(L90&lt;100,P90&lt;&gt;""),"Retire hook","Wait"))</f>
        <v/>
      </c>
      <c r="U90" s="2" t="inlineStr"/>
    </row>
    <row r="91">
      <c r="A91" s="2" t="n">
        <v>30</v>
      </c>
      <c r="B91" s="2" t="inlineStr">
        <is>
          <t>2026-07-07</t>
        </is>
      </c>
      <c r="C91" s="2" t="inlineStr">
        <is>
          <t>C</t>
        </is>
      </c>
      <c r="D91" s="2" t="inlineStr">
        <is>
          <t>To create</t>
        </is>
      </c>
      <c r="E91" s="2" t="inlineStr">
        <is>
          <t>June/July 2026 Movies</t>
        </is>
      </c>
      <c r="F91" s="2" t="inlineStr">
        <is>
          <t>Hidden detail you missed</t>
        </is>
      </c>
      <c r="G91" s="2" t="inlineStr">
        <is>
          <t>The Trailer Shot That Sells the Movie | Movie Explained</t>
        </is>
      </c>
      <c r="H91" s="2" t="inlineStr"/>
      <c r="I91" s="2" t="inlineStr">
        <is>
          <t>No</t>
        </is>
      </c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>
        <f>IF(L91&gt;0,N91/L91*1000,"")</f>
        <v/>
      </c>
      <c r="S91" s="2">
        <f>IF(L91&gt;0,M91/L91*10000,"")</f>
        <v/>
      </c>
      <c r="T91" s="2">
        <f>IF(AND(L91&gt;=1000,P91&gt;=70),"Double down",IF(AND(L91&lt;100,P91&lt;&gt;""),"Retire hook","Wait"))</f>
        <v/>
      </c>
      <c r="U9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28" customWidth="1" min="5" max="5"/>
  </cols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Goal</t>
        </is>
      </c>
      <c r="D1" s="1" t="inlineStr">
        <is>
          <t>Gap</t>
        </is>
      </c>
      <c r="E1" s="1" t="inlineStr">
        <is>
          <t>Notes</t>
        </is>
      </c>
    </row>
    <row r="2">
      <c r="A2" s="2" t="inlineStr">
        <is>
          <t>Subscribers</t>
        </is>
      </c>
      <c r="B2" s="2" t="n">
        <v>14</v>
      </c>
      <c r="C2" s="2" t="n">
        <v>1000</v>
      </c>
      <c r="D2" s="2">
        <f>C2-B2</f>
        <v/>
      </c>
      <c r="E2" s="2" t="inlineStr">
        <is>
          <t>Full YPP ads requirement</t>
        </is>
      </c>
    </row>
    <row r="3">
      <c r="A3" s="2" t="inlineStr">
        <is>
          <t>Valid public watch hours</t>
        </is>
      </c>
      <c r="B3" s="2" t="n">
        <v>0</v>
      </c>
      <c r="C3" s="2" t="n">
        <v>4000</v>
      </c>
      <c r="D3" s="2">
        <f>C3-B3</f>
        <v/>
      </c>
      <c r="E3" s="2" t="inlineStr">
        <is>
          <t>Shorts Feed watch time does not count</t>
        </is>
      </c>
    </row>
    <row r="4">
      <c r="A4" s="2" t="inlineStr">
        <is>
          <t>Valid public Shorts views</t>
        </is>
      </c>
      <c r="B4" s="2" t="n">
        <v>9</v>
      </c>
      <c r="C4" s="2" t="n">
        <v>10000000</v>
      </c>
      <c r="D4" s="2">
        <f>C4-B4</f>
        <v/>
      </c>
      <c r="E4" s="2" t="inlineStr">
        <is>
          <t>Alternative full YPP path</t>
        </is>
      </c>
    </row>
    <row r="5">
      <c r="A5" s="2" t="inlineStr">
        <is>
          <t>Total public channel views</t>
        </is>
      </c>
      <c r="B5" s="2" t="n">
        <v>37854</v>
      </c>
      <c r="C5" s="2" t="inlineStr"/>
      <c r="D5" s="2" t="inlineStr"/>
      <c r="E5" s="2" t="inlineStr">
        <is>
          <t>Public channel page</t>
        </is>
      </c>
    </row>
    <row r="6">
      <c r="A6" s="2" t="inlineStr">
        <is>
          <t>Videos</t>
        </is>
      </c>
      <c r="B6" s="2" t="n">
        <v>19</v>
      </c>
      <c r="C6" s="2" t="inlineStr"/>
      <c r="D6" s="2" t="inlineStr"/>
      <c r="E6" s="2" t="inlineStr">
        <is>
          <t>Public channel page</t>
        </is>
      </c>
    </row>
    <row r="7">
      <c r="A7" s="2" t="inlineStr">
        <is>
          <t>30-day uploads planned</t>
        </is>
      </c>
      <c r="B7" s="2" t="n">
        <v>90</v>
      </c>
      <c r="C7" s="2" t="inlineStr"/>
      <c r="D7" s="2" t="inlineStr"/>
      <c r="E7" s="2" t="inlineStr">
        <is>
          <t>3 Shorts/day</t>
        </is>
      </c>
    </row>
    <row r="8">
      <c r="A8" s="2" t="inlineStr">
        <is>
          <t>Published uploads</t>
        </is>
      </c>
      <c r="B8" s="2">
        <f>COUNTIF('Upload Tracker'!H:H,"Yes")</f>
        <v/>
      </c>
      <c r="C8" s="2" t="inlineStr"/>
      <c r="D8" s="2" t="inlineStr"/>
      <c r="E8" s="2" t="inlineStr">
        <is>
          <t>Update after publishing</t>
        </is>
      </c>
    </row>
    <row r="9">
      <c r="A9" s="2" t="inlineStr">
        <is>
          <t>Total 7d views from sprint</t>
        </is>
      </c>
      <c r="B9" s="2">
        <f>SUM('Upload Tracker'!K:K)</f>
        <v/>
      </c>
      <c r="C9" s="2" t="inlineStr"/>
      <c r="D9" s="2" t="inlineStr"/>
      <c r="E9" s="2" t="inlineStr">
        <is>
          <t>Fill tracker after 7 days</t>
        </is>
      </c>
    </row>
    <row r="10">
      <c r="A10" s="2" t="inlineStr">
        <is>
          <t>Total subscribers gained</t>
        </is>
      </c>
      <c r="B10" s="2">
        <f>SUM('Upload Tracker'!L:L)</f>
        <v/>
      </c>
      <c r="C10" s="2" t="inlineStr"/>
      <c r="D10" s="2" t="inlineStr"/>
      <c r="E10" s="2" t="inlineStr">
        <is>
          <t>Fill tracker from Studio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Question</t>
        </is>
      </c>
      <c r="B1" s="1" t="inlineStr">
        <is>
          <t>Pass requirement</t>
        </is>
      </c>
    </row>
    <row r="2">
      <c r="A2" s="2" t="inlineStr">
        <is>
          <t>Is the first frame understandable without audio?</t>
        </is>
      </c>
      <c r="B2" s="2" t="inlineStr">
        <is>
          <t>Yes</t>
        </is>
      </c>
    </row>
    <row r="3">
      <c r="A3" s="2" t="inlineStr">
        <is>
          <t>Does the first 2 seconds include a specific hook?</t>
        </is>
      </c>
      <c r="B3" s="2" t="inlineStr">
        <is>
          <t>Yes</t>
        </is>
      </c>
    </row>
    <row r="4">
      <c r="A4" s="2" t="inlineStr">
        <is>
          <t>Is there original commentary, not only subtitles?</t>
        </is>
      </c>
      <c r="B4" s="2" t="inlineStr">
        <is>
          <t>Yes</t>
        </is>
      </c>
    </row>
    <row r="5">
      <c r="A5" s="2" t="inlineStr">
        <is>
          <t>Can a reviewer tell what you added?</t>
        </is>
      </c>
      <c r="B5" s="2" t="inlineStr">
        <is>
          <t>Yes</t>
        </is>
      </c>
    </row>
    <row r="6">
      <c r="A6" s="2" t="inlineStr">
        <is>
          <t>Is the Short 25-45 seconds unless the story needs more?</t>
        </is>
      </c>
      <c r="B6" s="2" t="inlineStr">
        <is>
          <t>Preferred</t>
        </is>
      </c>
    </row>
    <row r="7">
      <c r="A7" s="2" t="inlineStr">
        <is>
          <t>Are hashtags limited to 3-5 relevant tags?</t>
        </is>
      </c>
      <c r="B7" s="2" t="inlineStr">
        <is>
          <t>Yes</t>
        </is>
      </c>
    </row>
    <row r="8">
      <c r="A8" s="2" t="inlineStr">
        <is>
          <t>Is there a pinned comment question?</t>
        </is>
      </c>
      <c r="B8" s="2" t="inlineStr">
        <is>
          <t>Yes</t>
        </is>
      </c>
    </row>
    <row r="9">
      <c r="A9" s="2" t="inlineStr">
        <is>
          <t>Does the title include the franchise and explanation promise?</t>
        </is>
      </c>
      <c r="B9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2026-06-07T17:05:41Z</dcterms:created>
  <dcterms:modified xmlns:dcterms="http://purl.org/dc/terms/" xmlns:xsi="http://www.w3.org/2001/XMLSchema-instance" xsi:type="dcterms:W3CDTF">2026-06-07T17:05:41Z</dcterms:modified>
</cp:coreProperties>
</file>